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induser1\Downloads\"/>
    </mc:Choice>
  </mc:AlternateContent>
  <xr:revisionPtr revIDLastSave="0" documentId="13_ncr:1_{0E1FE7B8-111B-4FB0-A5B0-6ACD77B69666}" xr6:coauthVersionLast="47" xr6:coauthVersionMax="47" xr10:uidLastSave="{00000000-0000-0000-0000-000000000000}"/>
  <bookViews>
    <workbookView xWindow="-108" yWindow="-108" windowWidth="23256" windowHeight="12576" firstSheet="1" activeTab="4" xr2:uid="{00000000-000D-0000-FFFF-FFFF00000000}"/>
  </bookViews>
  <sheets>
    <sheet name="Notes" sheetId="11" r:id="rId1"/>
    <sheet name="Team Role Matrix" sheetId="2" r:id="rId2"/>
    <sheet name="Workstream Ownership" sheetId="3" r:id="rId3"/>
    <sheet name="Deliverable Control" sheetId="6" r:id="rId4"/>
    <sheet name="Detailed Task Tracker" sheetId="4" r:id="rId5"/>
    <sheet name="List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4" l="1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</calcChain>
</file>

<file path=xl/sharedStrings.xml><?xml version="1.0" encoding="utf-8"?>
<sst xmlns="http://schemas.openxmlformats.org/spreadsheetml/2006/main" count="1141" uniqueCount="583">
  <si>
    <t>Recommendations aligned</t>
  </si>
  <si>
    <t>HCLTech Team Member</t>
  </si>
  <si>
    <t>Project Role</t>
  </si>
  <si>
    <t>Primary Accountability</t>
  </si>
  <si>
    <t>Key Outputs Owned</t>
  </si>
  <si>
    <t>Internal Cadence</t>
  </si>
  <si>
    <t>Backup / Support</t>
  </si>
  <si>
    <t>Critical Watchouts</t>
  </si>
  <si>
    <t>First 2-Week Focus</t>
  </si>
  <si>
    <t>Ankit Agarwal</t>
  </si>
  <si>
    <t>Global Client Partner / Account Sponsor</t>
  </si>
  <si>
    <t>Sponsor relationship, executive alignment, escalation support and strategic messaging</t>
  </si>
  <si>
    <t>Executive alignment notes, sponsor messaging, escalation support</t>
  </si>
  <si>
    <t>Steering / as needed</t>
  </si>
  <si>
    <t>Niraj Upadhyay</t>
  </si>
  <si>
    <t>Keep message aligned to SOW boundaries and non-audit posture</t>
  </si>
  <si>
    <t>Support kickoff follow-up and sponsor alignment</t>
  </si>
  <si>
    <t>Engagement Lead</t>
  </si>
  <si>
    <t>Overall engagement leadership, advisory storyline, quality control and client-facing delivery leadership</t>
  </si>
  <si>
    <t>Integrated storyline, weekly leadership narrative, quality gate sign-off, executive readouts</t>
  </si>
  <si>
    <t>Daily internal pulse + weekly governance</t>
  </si>
  <si>
    <t>Prevent over-engineering; keep short runway and pragmatic execution</t>
  </si>
  <si>
    <t>Lock governance, data strategy, workshop sequencing and charter</t>
  </si>
  <si>
    <t>Shilpi Bhatnagar</t>
  </si>
  <si>
    <t>Avoid assuming data completeness; validate through source evidence</t>
  </si>
  <si>
    <t>Rathindra Ghosh</t>
  </si>
  <si>
    <t>Governance, KPI, reporting, escalation and operating rhythm design</t>
  </si>
  <si>
    <t>Governance cadence, meeting inventory, KPI framework, scorecard and comms charter</t>
  </si>
  <si>
    <t>2x weekly governance track</t>
  </si>
  <si>
    <t>Giridhar Krishnagiri</t>
  </si>
  <si>
    <t>Governance must be light-touch; avoid over-governance</t>
  </si>
  <si>
    <t>Set governance model, weekly status template and meeting inventory approach</t>
  </si>
  <si>
    <t>AMS SME</t>
  </si>
  <si>
    <t>2x weekly assessment sync</t>
  </si>
  <si>
    <t>AMS functional leads</t>
  </si>
  <si>
    <t>Keep questions neutral; do not sound like audit</t>
  </si>
  <si>
    <t>Benchmarking, process maturity, capacity/value hypotheses and AI/automation advisory support</t>
  </si>
  <si>
    <t>Benchmark notes, capacity insights, automation opportunity inputs</t>
  </si>
  <si>
    <t>Shruthi Chandrashekar</t>
  </si>
  <si>
    <t>Operating Model Lead</t>
  </si>
  <si>
    <t>Product-aligned AMS operationalisation, role clarity, RACI and role profile design</t>
  </si>
  <si>
    <t>AMS RACI, role profiles, role gap/overlap analysis, operating recommendations</t>
  </si>
  <si>
    <t>2x weekly design sync</t>
  </si>
  <si>
    <t>Do not redesign product model; operationalise decided model</t>
  </si>
  <si>
    <t>Define RACI skeleton and role interview questions</t>
  </si>
  <si>
    <t>Pratik Sathe</t>
  </si>
  <si>
    <t>Daily during data load</t>
  </si>
  <si>
    <t>Narasimha Murthy</t>
  </si>
  <si>
    <t>Pooja Kanungo</t>
  </si>
  <si>
    <t>Application inventory, ownership matrix, stakeholder map, workshop minutes</t>
  </si>
  <si>
    <t>Daily during discovery</t>
  </si>
  <si>
    <t>Capture source and confidence for every input</t>
  </si>
  <si>
    <t>Prepare inventory templates and stakeholder map v0.1</t>
  </si>
  <si>
    <t>PMO and Business &amp; Data Analyst - Transformation</t>
  </si>
  <si>
    <t>PMO control tower, plan, RAID, action log, status updates, meeting cadence and document control</t>
  </si>
  <si>
    <t>Project plan, RAID/action/decision logs, weekly status, workshop calendar, deliverable tracker</t>
  </si>
  <si>
    <t>Daily internal control</t>
  </si>
  <si>
    <t>Pooja Kanungo / Pratik Sathe</t>
  </si>
  <si>
    <t>Keep a single source of truth; no parallel trackers</t>
  </si>
  <si>
    <t>Finalize internal tracker, cadence, actions and first weekly status</t>
  </si>
  <si>
    <t>WS</t>
  </si>
  <si>
    <t>Workstream</t>
  </si>
  <si>
    <t>Phase</t>
  </si>
  <si>
    <t>Primary HCL Owner</t>
  </si>
  <si>
    <t>Supporting Team</t>
  </si>
  <si>
    <t>Core Internal Responsibilities</t>
  </si>
  <si>
    <t>Committed Deliverables</t>
  </si>
  <si>
    <t>Quality Reviewer</t>
  </si>
  <si>
    <t>Notes</t>
  </si>
  <si>
    <t>WS1</t>
  </si>
  <si>
    <t>Mobilization and Transformation Structure</t>
  </si>
  <si>
    <t>Phase 0</t>
  </si>
  <si>
    <t>Control tower, charter, project plan, governance, RAID, data discovery approach</t>
  </si>
  <si>
    <t>Transformation charter; integrated project plan; data request tracker; RAID/action log; weekly status template</t>
  </si>
  <si>
    <t>Niraj</t>
  </si>
  <si>
    <t>Foundation before assessment</t>
  </si>
  <si>
    <t>WS2</t>
  </si>
  <si>
    <t>Current-State Baseline</t>
  </si>
  <si>
    <t>Phase 1</t>
  </si>
  <si>
    <t>Review artefacts, conduct interviews, synthesize pain points, risks, quick wins</t>
  </si>
  <si>
    <t>Current-state assessment summary; current-state operating view; pain point and opportunity register; quick win recommendations</t>
  </si>
  <si>
    <t>No audit posture; fact-based</t>
  </si>
  <si>
    <t>WS3</t>
  </si>
  <si>
    <t>Data Gathering and Inventory Consolidation</t>
  </si>
  <si>
    <t>Gather, clean, structure and consolidate fragmented data into validation-ready inventories</t>
  </si>
  <si>
    <t>Application support inventory; ownership matrix; ServiceNow queue inventory; queue-to-app-owner mapping; dashboard/reporting inventory; governance inventory; stakeholder map; team profile inventory</t>
  </si>
  <si>
    <t>HCL heavy-lifting workstream</t>
  </si>
  <si>
    <t>WS4</t>
  </si>
  <si>
    <t>Role Clarity, RACI and Operating Model Recommendations</t>
  </si>
  <si>
    <t>Phase 2</t>
  </si>
  <si>
    <t>Clarify responsibilities, identify gaps/overlaps, operationalise product-aligned AMS model</t>
  </si>
  <si>
    <t>AMS RACI matrix; target role profiles; role gap/overlap analysis; AMS 2.0 operating model recommendations</t>
  </si>
  <si>
    <t>Operationalise decided product model; not greenfield redesign</t>
  </si>
  <si>
    <t>WS5</t>
  </si>
  <si>
    <t>Governance, Communication and Reporting Framework</t>
  </si>
  <si>
    <t>Giridhar, Pratik, Narasimha</t>
  </si>
  <si>
    <t>Assess current governance and define future cadence, reporting, KPIs and communication standards</t>
  </si>
  <si>
    <t>Future-state governance calendar; meeting rationalization; templates; communication charter; KPI framework; executive scorecard; dashboard requirements</t>
  </si>
  <si>
    <t>Lightweight, decision-led governance</t>
  </si>
  <si>
    <t>WS6</t>
  </si>
  <si>
    <t>Capacity and Demand Fact Base</t>
  </si>
  <si>
    <t>Map workload, criticality, ticket volumes, ownership, coverage and demand-supply gaps</t>
  </si>
  <si>
    <t>Capacity and demand model; capacity heatmap; role/demand alignment view; capacity recommendations</t>
  </si>
  <si>
    <t>No staffing decisions; fact base only</t>
  </si>
  <si>
    <t>WS7</t>
  </si>
  <si>
    <t>Transformation Roadmap and Execution Support</t>
  </si>
  <si>
    <t>Phase 3</t>
  </si>
  <si>
    <t>Narasimha, Rathindra, Shruthi, Giridhar</t>
  </si>
  <si>
    <t>Convert findings into sequenced roadmap, implementation backlog and final readout</t>
  </si>
  <si>
    <t>AMS 2.0 roadmap; implementation backlog; quick win execution support plan; executive readout deck; final handover package</t>
  </si>
  <si>
    <t>Leadership-ready narrative</t>
  </si>
  <si>
    <t>WS8</t>
  </si>
  <si>
    <t>AI and Automation Roadmap Advisory</t>
  </si>
  <si>
    <t>Assess automation maturity and identify prioritized advisory AI/automation opportunities</t>
  </si>
  <si>
    <t>Automation maturity summary; AI/automation opportunity map; prioritized recommendations; agentic AI inputs; assumptions/dependencies register</t>
  </si>
  <si>
    <t>Advisory only</t>
  </si>
  <si>
    <t>Task ID</t>
  </si>
  <si>
    <t>Activity / Task</t>
  </si>
  <si>
    <t>Primary Owner</t>
  </si>
  <si>
    <t>Support</t>
  </si>
  <si>
    <t>Start Date</t>
  </si>
  <si>
    <t>Due Date</t>
  </si>
  <si>
    <t>Internal Checkpoint</t>
  </si>
  <si>
    <t>Status</t>
  </si>
  <si>
    <t>RAG</t>
  </si>
  <si>
    <t>Priority</t>
  </si>
  <si>
    <t>Dependency / Input Needed</t>
  </si>
  <si>
    <t>Next Action</t>
  </si>
  <si>
    <t>Due Health</t>
  </si>
  <si>
    <t>T001</t>
  </si>
  <si>
    <t>Phase 0 - Mobilize</t>
  </si>
  <si>
    <t>WS1 Mobilization &amp; Transformation Structure</t>
  </si>
  <si>
    <t>Set up internal control tower and single tracker pack</t>
  </si>
  <si>
    <t>Pooja, Pratik</t>
  </si>
  <si>
    <t>Internal PMO huddle</t>
  </si>
  <si>
    <t>In Progress</t>
  </si>
  <si>
    <t>Green</t>
  </si>
  <si>
    <t>Must Have</t>
  </si>
  <si>
    <t>Confirmed team roles</t>
  </si>
  <si>
    <t>Publish tracker to HCL internal team</t>
  </si>
  <si>
    <t>T002</t>
  </si>
  <si>
    <t>Finalize project charter narrative and approval route</t>
  </si>
  <si>
    <t>Narasimha, Ankit</t>
  </si>
  <si>
    <t>Charter QA</t>
  </si>
  <si>
    <t>Kickoff feedback and SOW</t>
  </si>
  <si>
    <t>Issue v1 for review</t>
  </si>
  <si>
    <t>T003</t>
  </si>
  <si>
    <t>Confirm weekly governance rhythm and meeting owners</t>
  </si>
  <si>
    <t>Narasimha</t>
  </si>
  <si>
    <t>Governance setup</t>
  </si>
  <si>
    <t>Tanveer / Karol confirmation</t>
  </si>
  <si>
    <t>Send proposed cadence</t>
  </si>
  <si>
    <t>T004</t>
  </si>
  <si>
    <t>Build and share data discovery tracker structure</t>
  </si>
  <si>
    <t>Data tracker review</t>
  </si>
  <si>
    <t>Amber</t>
  </si>
  <si>
    <t>Initial source owner list</t>
  </si>
  <si>
    <t>Create source inventory shell</t>
  </si>
  <si>
    <t>T005</t>
  </si>
  <si>
    <t>Develop stakeholder map v0.1 from kickoff deck and org inputs</t>
  </si>
  <si>
    <t>Stakeholder map review</t>
  </si>
  <si>
    <t>Kickoff team list</t>
  </si>
  <si>
    <t>Map primary vs extended stakeholders</t>
  </si>
  <si>
    <t>T006</t>
  </si>
  <si>
    <t>Create internal interview and workshop calendar draft</t>
  </si>
  <si>
    <t>Calendar review</t>
  </si>
  <si>
    <t>Not Started</t>
  </si>
  <si>
    <t>Mondelez availability</t>
  </si>
  <si>
    <t>Draft Tue/Wed/Thu calendar</t>
  </si>
  <si>
    <t>T007</t>
  </si>
  <si>
    <t>Prepare first weekly status update template</t>
  </si>
  <si>
    <t>Status QA</t>
  </si>
  <si>
    <t>Should Have</t>
  </si>
  <si>
    <t>Governance cadence</t>
  </si>
  <si>
    <t>Draft Week 1 status</t>
  </si>
  <si>
    <t>T008</t>
  </si>
  <si>
    <t>Set up document repository and naming conventions</t>
  </si>
  <si>
    <t>Pooja</t>
  </si>
  <si>
    <t>PMO control</t>
  </si>
  <si>
    <t>Collaboration access</t>
  </si>
  <si>
    <t>Create folder structure</t>
  </si>
  <si>
    <t>T009</t>
  </si>
  <si>
    <t>Phase 1 - Assess &amp; Baseline</t>
  </si>
  <si>
    <t>WS2 Current-State Baseline</t>
  </si>
  <si>
    <t>Finalize executive and functional lead interview guides</t>
  </si>
  <si>
    <t>Niraj, Giridhar</t>
  </si>
  <si>
    <t>Interview readiness</t>
  </si>
  <si>
    <t>Question bank</t>
  </si>
  <si>
    <t>Tailor questions by stakeholder</t>
  </si>
  <si>
    <t>T010</t>
  </si>
  <si>
    <t>Run AMS leadership discovery interviews</t>
  </si>
  <si>
    <t>Shilpi, Narasimha</t>
  </si>
  <si>
    <t>Interview playback</t>
  </si>
  <si>
    <t>Stakeholder calendar</t>
  </si>
  <si>
    <t>Schedule Ernesto/Karol/Tanveer inputs</t>
  </si>
  <si>
    <t>T011</t>
  </si>
  <si>
    <t>Run AMS functional lead interviews</t>
  </si>
  <si>
    <t>Functional discovery</t>
  </si>
  <si>
    <t>Functional lead availability</t>
  </si>
  <si>
    <t>Prepare pre-reads</t>
  </si>
  <si>
    <t>T012</t>
  </si>
  <si>
    <t>WS3 Data Gathering &amp; Inventory Consolidation</t>
  </si>
  <si>
    <t>Collect application inventory sources and CMDB extracts</t>
  </si>
  <si>
    <t>Pratik, Soumya</t>
  </si>
  <si>
    <t>Data intake</t>
  </si>
  <si>
    <t>CMDB access / exports</t>
  </si>
  <si>
    <t>Track source availability and gaps</t>
  </si>
  <si>
    <t>T013</t>
  </si>
  <si>
    <t>Collect ServiceNow queue, assignment group and ticket extracts</t>
  </si>
  <si>
    <t>Narasimha, Soumya</t>
  </si>
  <si>
    <t>ServiceNow reporting SME</t>
  </si>
  <si>
    <t>Request extract fields</t>
  </si>
  <si>
    <t>T014</t>
  </si>
  <si>
    <t>Create source confidence rating and data gap log</t>
  </si>
  <si>
    <t>Data QA</t>
  </si>
  <si>
    <t>All incoming data sets</t>
  </si>
  <si>
    <t>Tag each source as confirmed/inferred/pending</t>
  </si>
  <si>
    <t>T015</t>
  </si>
  <si>
    <t>Synthesize pain points from interviews and artefact review</t>
  </si>
  <si>
    <t>Pooja, Giridhar</t>
  </si>
  <si>
    <t>Synthesis huddle</t>
  </si>
  <si>
    <t>Interview notes</t>
  </si>
  <si>
    <t>Create pain point register</t>
  </si>
  <si>
    <t>T016</t>
  </si>
  <si>
    <t>Build application-to-owner matrix v0.1</t>
  </si>
  <si>
    <t>Inventory review</t>
  </si>
  <si>
    <t>CMDB + stakeholder input</t>
  </si>
  <si>
    <t>Prepare exception list</t>
  </si>
  <si>
    <t>T017</t>
  </si>
  <si>
    <t>Build queue-to-app-to-owner mapping v0.1</t>
  </si>
  <si>
    <t>Pooja, Soumya</t>
  </si>
  <si>
    <t>Queue mapping review</t>
  </si>
  <si>
    <t>ServiceNow queues + app inventory</t>
  </si>
  <si>
    <t>Map queue gaps</t>
  </si>
  <si>
    <t>T018</t>
  </si>
  <si>
    <t>WS5 Governance, Communication &amp; Reporting</t>
  </si>
  <si>
    <t>Inventory current governance forums and reports</t>
  </si>
  <si>
    <t>Narasimha, Pooja</t>
  </si>
  <si>
    <t>Governance discovery</t>
  </si>
  <si>
    <t>Governance packs / calendars</t>
  </si>
  <si>
    <t>Build meeting inventory</t>
  </si>
  <si>
    <t>T019</t>
  </si>
  <si>
    <t>WS6 Capacity &amp; Demand Fact Base</t>
  </si>
  <si>
    <t>Build initial demand and workload model structure</t>
  </si>
  <si>
    <t>Pratik, Shilpi</t>
  </si>
  <si>
    <t>Capacity model review</t>
  </si>
  <si>
    <t>Ticket and FTE data</t>
  </si>
  <si>
    <t>Create demand dimensions</t>
  </si>
  <si>
    <t>T020</t>
  </si>
  <si>
    <t>Prepare current-state assessment storyline v0.1</t>
  </si>
  <si>
    <t>Shilpi, Pooja, Pratik</t>
  </si>
  <si>
    <t>Storyline review</t>
  </si>
  <si>
    <t>Validated data snippets</t>
  </si>
  <si>
    <t>Draft executive storyline</t>
  </si>
  <si>
    <t>T021</t>
  </si>
  <si>
    <t>Conduct current-state validation workshop</t>
  </si>
  <si>
    <t>Shilpi, Rathindra, Pratik</t>
  </si>
  <si>
    <t>Client validation</t>
  </si>
  <si>
    <t>Draft findings</t>
  </si>
  <si>
    <t>Facilitate validation</t>
  </si>
  <si>
    <t>T022</t>
  </si>
  <si>
    <t>Lock current-state baseline and quick-win list</t>
  </si>
  <si>
    <t>Phase 1 gate</t>
  </si>
  <si>
    <t>Validation feedback</t>
  </si>
  <si>
    <t>Update baseline pack</t>
  </si>
  <si>
    <t>T023</t>
  </si>
  <si>
    <t>Phase 2 - Design &amp; Recommend</t>
  </si>
  <si>
    <t>WS4 Role Clarity, RACI &amp; Operating Model</t>
  </si>
  <si>
    <t>Draft product-aligned AMS RACI skeleton</t>
  </si>
  <si>
    <t>Niraj, Shilpi</t>
  </si>
  <si>
    <t>RACI design review</t>
  </si>
  <si>
    <t>Current-state role insights</t>
  </si>
  <si>
    <t>Prepare RACI v0.1</t>
  </si>
  <si>
    <t>T024</t>
  </si>
  <si>
    <t>Facilitate role clarity and handoff workshop</t>
  </si>
  <si>
    <t>Niraj, Pooja</t>
  </si>
  <si>
    <t>Design workshop</t>
  </si>
  <si>
    <t>Role questions and pre-read</t>
  </si>
  <si>
    <t>Capture gaps/overlaps</t>
  </si>
  <si>
    <t>T025</t>
  </si>
  <si>
    <t>Draft governance calendar and forum rationalization</t>
  </si>
  <si>
    <t>Governance design review</t>
  </si>
  <si>
    <t>Governance inventory</t>
  </si>
  <si>
    <t>Build keep/change/merge/retire view</t>
  </si>
  <si>
    <t>T026</t>
  </si>
  <si>
    <t>Define AMS KPI framework and executive scorecard skeleton</t>
  </si>
  <si>
    <t>Giridhar, Pratik</t>
  </si>
  <si>
    <t>KPI review</t>
  </si>
  <si>
    <t>Reporting inventory</t>
  </si>
  <si>
    <t>Build KPI taxonomy</t>
  </si>
  <si>
    <t>T027</t>
  </si>
  <si>
    <t>Develop capacity heatmap and role-demand alignment view</t>
  </si>
  <si>
    <t>Capacity review</t>
  </si>
  <si>
    <t>Ticket, app, FTE, criticality data</t>
  </si>
  <si>
    <t>Build heatmap and assumptions</t>
  </si>
  <si>
    <t>T028</t>
  </si>
  <si>
    <t>WS8 AI &amp; Automation Roadmap Advisory</t>
  </si>
  <si>
    <t>Run automation maturity and opportunity scan</t>
  </si>
  <si>
    <t>Soumya, Pratik</t>
  </si>
  <si>
    <t>Automation advisory review</t>
  </si>
  <si>
    <t>Automation/tooling artefacts</t>
  </si>
  <si>
    <t>Draft opportunity map</t>
  </si>
  <si>
    <t>T029</t>
  </si>
  <si>
    <t>Develop target role profiles and role gap analysis</t>
  </si>
  <si>
    <t>Pooja, Shilpi</t>
  </si>
  <si>
    <t>Role profile QA</t>
  </si>
  <si>
    <t>RACI feedback</t>
  </si>
  <si>
    <t>Draft role profiles</t>
  </si>
  <si>
    <t>T030</t>
  </si>
  <si>
    <t>Prepare integrated future-state recommendation pack</t>
  </si>
  <si>
    <t>Shruthi, Rathindra, Giridhar</t>
  </si>
  <si>
    <t>Phase 2 storyline review</t>
  </si>
  <si>
    <t>RACI, governance, capacity inputs</t>
  </si>
  <si>
    <t>Build recommendation narrative</t>
  </si>
  <si>
    <t>T031</t>
  </si>
  <si>
    <t>Conduct governance and KPI validation workshop</t>
  </si>
  <si>
    <t>Niraj, Pratik</t>
  </si>
  <si>
    <t>Governance/KPI drafts</t>
  </si>
  <si>
    <t>Capture leadership feedback</t>
  </si>
  <si>
    <t>T032</t>
  </si>
  <si>
    <t>Conduct future-state recommendation validation</t>
  </si>
  <si>
    <t>Recommendation pack v0.1</t>
  </si>
  <si>
    <t>Log open decisions</t>
  </si>
  <si>
    <t>T033</t>
  </si>
  <si>
    <t>Phase 3 - Roadmap &amp; Handover</t>
  </si>
  <si>
    <t>WS7 Transformation Roadmap &amp; Execution Support</t>
  </si>
  <si>
    <t>Build 30/60/90/180-day roadmap v0.1</t>
  </si>
  <si>
    <t>Narasimha, Shruthi</t>
  </si>
  <si>
    <t>Roadmap review</t>
  </si>
  <si>
    <t>Validated recommendations</t>
  </si>
  <si>
    <t>Draft roadmap</t>
  </si>
  <si>
    <t>T034</t>
  </si>
  <si>
    <t>Build implementation backlog with owners and dependencies</t>
  </si>
  <si>
    <t>Niraj, Rathindra</t>
  </si>
  <si>
    <t>Backlog review</t>
  </si>
  <si>
    <t>Roadmap actions</t>
  </si>
  <si>
    <t>Populate backlog</t>
  </si>
  <si>
    <t>T035</t>
  </si>
  <si>
    <t>Finalize AI and automation opportunity map and advisory roadmap inputs</t>
  </si>
  <si>
    <t>Automation final review</t>
  </si>
  <si>
    <t>Automation maturity inputs</t>
  </si>
  <si>
    <t>Finalize advisory pack</t>
  </si>
  <si>
    <t>T036</t>
  </si>
  <si>
    <t>Conduct roadmap prioritization workshop</t>
  </si>
  <si>
    <t>Narasimha, Shruthi, Giridhar</t>
  </si>
  <si>
    <t>Client roadmap workshop</t>
  </si>
  <si>
    <t>Roadmap v0.1</t>
  </si>
  <si>
    <t>Facilitate prioritization</t>
  </si>
  <si>
    <t>T037</t>
  </si>
  <si>
    <t>Prepare executive readout deck and decision page</t>
  </si>
  <si>
    <t>Executive QA</t>
  </si>
  <si>
    <t>Final findings and roadmap</t>
  </si>
  <si>
    <t>Build readout</t>
  </si>
  <si>
    <t>T038</t>
  </si>
  <si>
    <t>Assemble final handover package and working files</t>
  </si>
  <si>
    <t>All track owners</t>
  </si>
  <si>
    <t>Handover QA</t>
  </si>
  <si>
    <t>Final deliverables</t>
  </si>
  <si>
    <t>Create final package</t>
  </si>
  <si>
    <t>T040</t>
  </si>
  <si>
    <t>Conduct executive readout and capture final decisions/open items</t>
  </si>
  <si>
    <t>Niraj, Narasimha</t>
  </si>
  <si>
    <t>Executive readout</t>
  </si>
  <si>
    <t>Final deck</t>
  </si>
  <si>
    <t>Lead closure</t>
  </si>
  <si>
    <t>Done</t>
  </si>
  <si>
    <t>Karol, Tanveer, data owners</t>
  </si>
  <si>
    <t>Soumya, Pooja</t>
  </si>
  <si>
    <t>Deliverable Control Log</t>
  </si>
  <si>
    <t>ID</t>
  </si>
  <si>
    <t>Deliverable</t>
  </si>
  <si>
    <t>QA Owner</t>
  </si>
  <si>
    <t>Review Audience</t>
  </si>
  <si>
    <t>Acceptance / Completion Evidence</t>
  </si>
  <si>
    <t>D01</t>
  </si>
  <si>
    <t>AMS 2.0 Transformation Charter</t>
  </si>
  <si>
    <t>Ernesto, Karol, Tanveer</t>
  </si>
  <si>
    <t>Charter reviewed and agreed</t>
  </si>
  <si>
    <t>D02</t>
  </si>
  <si>
    <t>Integrated Project Plan</t>
  </si>
  <si>
    <t>Karol, Tanveer</t>
  </si>
  <si>
    <t>Plan baselined</t>
  </si>
  <si>
    <t>D03</t>
  </si>
  <si>
    <t>Data Request / Discovery Tracker</t>
  </si>
  <si>
    <t>Tracker live</t>
  </si>
  <si>
    <t>D04</t>
  </si>
  <si>
    <t>RAID / Action Log</t>
  </si>
  <si>
    <t>Log active</t>
  </si>
  <si>
    <t>D05</t>
  </si>
  <si>
    <t>Weekly Status Update Template</t>
  </si>
  <si>
    <t>Template agreed</t>
  </si>
  <si>
    <t>D06</t>
  </si>
  <si>
    <t>Current-State Assessment Summary</t>
  </si>
  <si>
    <t>Niraj, Pooja, Pratik</t>
  </si>
  <si>
    <t>AMS leadership</t>
  </si>
  <si>
    <t>Baseline validated</t>
  </si>
  <si>
    <t>D07</t>
  </si>
  <si>
    <t>Current-State Operating View</t>
  </si>
  <si>
    <t>Operating view agreed</t>
  </si>
  <si>
    <t>D08</t>
  </si>
  <si>
    <t>Pain Point and Opportunity Register</t>
  </si>
  <si>
    <t>Shilpi</t>
  </si>
  <si>
    <t>Register validated</t>
  </si>
  <si>
    <t>D09</t>
  </si>
  <si>
    <t>Quick Win Recommendations</t>
  </si>
  <si>
    <t>Quick wins aligned</t>
  </si>
  <si>
    <t>D10</t>
  </si>
  <si>
    <t>AMS Application Support Inventory</t>
  </si>
  <si>
    <t>Soumya</t>
  </si>
  <si>
    <t>Inventory exceptions captured</t>
  </si>
  <si>
    <t>D11</t>
  </si>
  <si>
    <t>Application Ownership Matrix</t>
  </si>
  <si>
    <t>Pratik</t>
  </si>
  <si>
    <t>Shruthi</t>
  </si>
  <si>
    <t>Ownership gaps identified</t>
  </si>
  <si>
    <t>D12</t>
  </si>
  <si>
    <t>ServiceNow Queue / Assignment Group Inventory</t>
  </si>
  <si>
    <t>ServiceNow SMEs</t>
  </si>
  <si>
    <t>Queue inventory validated</t>
  </si>
  <si>
    <t>D13</t>
  </si>
  <si>
    <t>Queue-to-App-to-Owner Mapping</t>
  </si>
  <si>
    <t>Mapping exceptions documented</t>
  </si>
  <si>
    <t>D14</t>
  </si>
  <si>
    <t>Dashboard and Reporting Inventory</t>
  </si>
  <si>
    <t>Rathindra</t>
  </si>
  <si>
    <t>Reporting owners</t>
  </si>
  <si>
    <t>Dashboard inventory validated</t>
  </si>
  <si>
    <t>D15</t>
  </si>
  <si>
    <t>Governance and Meeting Inventory</t>
  </si>
  <si>
    <t>Karol / Tanveer</t>
  </si>
  <si>
    <t>Meeting inventory validated</t>
  </si>
  <si>
    <t>D16</t>
  </si>
  <si>
    <t>Stakeholder Map</t>
  </si>
  <si>
    <t>Stakeholder map confirmed</t>
  </si>
  <si>
    <t>D17</t>
  </si>
  <si>
    <t>Team profile validated</t>
  </si>
  <si>
    <t>D18</t>
  </si>
  <si>
    <t>AMS RACI Matrix</t>
  </si>
  <si>
    <t>RACI aligned for validation</t>
  </si>
  <si>
    <t>D19</t>
  </si>
  <si>
    <t>Target Role Profiles</t>
  </si>
  <si>
    <t>Role profiles reviewed</t>
  </si>
  <si>
    <t>D20</t>
  </si>
  <si>
    <t>Role Gap and Overlap Analysis</t>
  </si>
  <si>
    <t>Gaps/overlaps agreed</t>
  </si>
  <si>
    <t>D21</t>
  </si>
  <si>
    <t>AMS 2.0 Operating Model Recommendations</t>
  </si>
  <si>
    <t>Ernesto / AMS leadership</t>
  </si>
  <si>
    <t>D22</t>
  </si>
  <si>
    <t>Future-State Governance Calendar</t>
  </si>
  <si>
    <t>Governance calendar reviewed</t>
  </si>
  <si>
    <t>D23</t>
  </si>
  <si>
    <t>Meeting Rationalization Recommendations</t>
  </si>
  <si>
    <t>Keep/change/retire view agreed</t>
  </si>
  <si>
    <t>D24</t>
  </si>
  <si>
    <t>Governance Templates</t>
  </si>
  <si>
    <t>Templates packaged</t>
  </si>
  <si>
    <t>D25</t>
  </si>
  <si>
    <t>Communication Charter</t>
  </si>
  <si>
    <t>Communication norms aligned</t>
  </si>
  <si>
    <t>D26</t>
  </si>
  <si>
    <t>AMS KPI Framework</t>
  </si>
  <si>
    <t>KPI framework reviewed</t>
  </si>
  <si>
    <t>D27</t>
  </si>
  <si>
    <t>Executive AMS Scorecard Template</t>
  </si>
  <si>
    <t>Scorecard template reviewed</t>
  </si>
  <si>
    <t>D28</t>
  </si>
  <si>
    <t>Operational Dashboard Requirements</t>
  </si>
  <si>
    <t>Requirements documented</t>
  </si>
  <si>
    <t>D29</t>
  </si>
  <si>
    <t>Capacity and Demand Model</t>
  </si>
  <si>
    <t>Model reviewed</t>
  </si>
  <si>
    <t>D30</t>
  </si>
  <si>
    <t>Capacity Heatmap</t>
  </si>
  <si>
    <t>Heatmap validated</t>
  </si>
  <si>
    <t>D31</t>
  </si>
  <si>
    <t>Role / Demand Alignment View</t>
  </si>
  <si>
    <t>Shruthi, Pratik</t>
  </si>
  <si>
    <t>Alignment view reviewed</t>
  </si>
  <si>
    <t>D32</t>
  </si>
  <si>
    <t>Capacity Recommendations</t>
  </si>
  <si>
    <t>Recommendations captured</t>
  </si>
  <si>
    <t>D33</t>
  </si>
  <si>
    <t>Automation Maturity Assessment Summary</t>
  </si>
  <si>
    <t>Automation stakeholders</t>
  </si>
  <si>
    <t>Summary reviewed</t>
  </si>
  <si>
    <t>D34</t>
  </si>
  <si>
    <t>AI and Automation Opportunity Map</t>
  </si>
  <si>
    <t>Opportunity map reviewed</t>
  </si>
  <si>
    <t>D35</t>
  </si>
  <si>
    <t>Prioritized Automation Recommendations</t>
  </si>
  <si>
    <t>Recommendations sequenced</t>
  </si>
  <si>
    <t>D36</t>
  </si>
  <si>
    <t>Agentic AI Infusion and Intervention Inputs</t>
  </si>
  <si>
    <t>Inputs captured</t>
  </si>
  <si>
    <t>D37</t>
  </si>
  <si>
    <t>Automation Assumptions and Dependencies Register</t>
  </si>
  <si>
    <t>Giridhar</t>
  </si>
  <si>
    <t>Register completed</t>
  </si>
  <si>
    <t>D38</t>
  </si>
  <si>
    <t>AMS 2.0 Transformation Roadmap</t>
  </si>
  <si>
    <t>Roadmap endorsed</t>
  </si>
  <si>
    <t>D39</t>
  </si>
  <si>
    <t>Implementation Backlog</t>
  </si>
  <si>
    <t>All owners</t>
  </si>
  <si>
    <t>Backlog packaged</t>
  </si>
  <si>
    <t>D40</t>
  </si>
  <si>
    <t>Quick Win Execution Support Plan</t>
  </si>
  <si>
    <t>Quick-win plan packaged</t>
  </si>
  <si>
    <t>D41</t>
  </si>
  <si>
    <t>Executive Readout Deck</t>
  </si>
  <si>
    <t>Ernesto / leadership</t>
  </si>
  <si>
    <t>Readout completed</t>
  </si>
  <si>
    <t>D42</t>
  </si>
  <si>
    <t>Final Handover Package</t>
  </si>
  <si>
    <t>Final package delivered</t>
  </si>
  <si>
    <t>Cadence</t>
  </si>
  <si>
    <t>2-3x weekly</t>
  </si>
  <si>
    <t>Weekly</t>
  </si>
  <si>
    <t>Stakeholder Level</t>
  </si>
  <si>
    <t>Executive</t>
  </si>
  <si>
    <t>Daily</t>
  </si>
  <si>
    <t>AMS Leadership</t>
  </si>
  <si>
    <t>Blocked</t>
  </si>
  <si>
    <t>Good to Have</t>
  </si>
  <si>
    <t>Red</t>
  </si>
  <si>
    <t>AMS Project Lead</t>
  </si>
  <si>
    <t>AMS Functional Lead</t>
  </si>
  <si>
    <t>Bi-weekly</t>
  </si>
  <si>
    <t>Deferred</t>
  </si>
  <si>
    <t>Product / Platform Owner</t>
  </si>
  <si>
    <t>Milestone-based</t>
  </si>
  <si>
    <t>ServiceNow / Reporting SME</t>
  </si>
  <si>
    <t>As scheduled</t>
  </si>
  <si>
    <t>Application / Technical SME</t>
  </si>
  <si>
    <t>Regional Stakeholder</t>
  </si>
  <si>
    <t>Narasimha, Pratik, Ankit</t>
  </si>
  <si>
    <t>Ankit / Niraj</t>
  </si>
  <si>
    <t xml:space="preserve"> Niraj</t>
  </si>
  <si>
    <t>ITIL / service delivery maturity assessment, process diagnostics and current-state synthesis, technical/process advisory</t>
  </si>
  <si>
    <t>AMS architecture, application support model,ServiceNow, queues, ticket volumetrics, dashboard/reporting inventory and analysis</t>
  </si>
  <si>
    <t>Application support model inputs,  Queue inventory, ticket analysis, dashboard inventory, volumetrics fact pack</t>
  </si>
  <si>
    <t>Current-state assessment sections, process maturity findings, pain point themes., technical maturity view, service architecture observations,</t>
  </si>
  <si>
    <t>Build interview guides and current-state assessment structure, Define assessment data model and technical discovery approach</t>
  </si>
  <si>
    <t>Ankit/ Niraj</t>
  </si>
  <si>
    <t>Ankit, Pratik</t>
  </si>
  <si>
    <t>Narasimha,Giridhar</t>
  </si>
  <si>
    <t>Draft Due (TBC)</t>
  </si>
  <si>
    <t>Final Due (TBC)</t>
  </si>
  <si>
    <t>Mondelez AMS Team Profile Inventory</t>
  </si>
  <si>
    <t>Tag data gaps and confidence; do not force conclusions from incomplete extracts, Use benchmarks as indicative only until evidence validated</t>
  </si>
  <si>
    <t>Set data tracker, required extracts and analysis templates, Define maturity scale and benchmark lens</t>
  </si>
  <si>
    <t>AMS Governance Lead</t>
  </si>
  <si>
    <t>Business &amp; Data Analyst - Benchmarking Lead</t>
  </si>
  <si>
    <t>Giridhar, Pooja, Pratik</t>
  </si>
  <si>
    <t>Pooja, Narasimha, Shilpi</t>
  </si>
  <si>
    <t>Shilpi, Pooja, Narasimha</t>
  </si>
  <si>
    <t>Application inventory, ownership matrix, Stakeholder Inventory, stakeholder mapping, workshop notes and synthesis</t>
  </si>
  <si>
    <t xml:space="preserve">Business &amp; Data Analyst - Application &amp; Ownership </t>
  </si>
  <si>
    <t>Internal Due / Gate (TBC)</t>
  </si>
  <si>
    <t>SOW-committed deliverables only (ownership, QA and approval readiness)</t>
  </si>
  <si>
    <t>Ernesto Gonzalez – Key Asks</t>
  </si>
  <si>
    <t xml:space="preserve">Keep assessment fully data-driven → no opinions, only evidence-backed insights </t>
  </si>
  <si>
    <t>First establish current state clearly before defining roadmap</t>
  </si>
  <si>
    <t>Bring structure &amp; clarity to:</t>
  </si>
  <si>
    <t>Roles &amp; responsibilities</t>
  </si>
  <si>
    <t>Application ownership</t>
  </si>
  <si>
    <t xml:space="preserve">Governance &amp; reporting </t>
  </si>
  <si>
    <t>Fix data inconsistencies → align to a single source of truth (CMDB)</t>
  </si>
  <si>
    <t xml:space="preserve">Do not treat this as an audit → objective is structuring and organizing data </t>
  </si>
  <si>
    <t xml:space="preserve">Be pragmatic in stakeholder engagement → targeted sampling, not exhaustive coverage </t>
  </si>
  <si>
    <t xml:space="preserve">Be realistic on availability → limited involvement from product/business teams </t>
  </si>
  <si>
    <t xml:space="preserve">Ensure joint accountability → Mondelez must not become a bottleneck </t>
  </si>
  <si>
    <t xml:space="preserve">Shift mindset → from regional → product / function-based model </t>
  </si>
  <si>
    <t xml:space="preserve">Prioritize high-value insights → avoid over-analysis (e.g., cost detail not immediate focus) </t>
  </si>
  <si>
    <t>Drive fast &amp; practical execution (~3 months) → avoid over-governance</t>
  </si>
  <si>
    <t>Karol Jurcik – Key Asks</t>
  </si>
  <si>
    <t xml:space="preserve">Assess AMS in context of product/platform transformation </t>
  </si>
  <si>
    <t xml:space="preserve">Provide independent, external POV → challenge current state &amp; assumptions </t>
  </si>
  <si>
    <t xml:space="preserve">Evaluate AMS fit within product org (not just operations) </t>
  </si>
  <si>
    <t xml:space="preserve">Highlight both gaps &amp; strengths (balanced view) </t>
  </si>
  <si>
    <t xml:space="preserve">Be realistic → product model is still early-stage and evolving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</si>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</sst>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4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6"/>
      <color rgb="FFFFFFFF"/>
      <name val="Carlito"/>
    </font>
    <font>
      <sz val="10"/>
      <color rgb="FFFF0000"/>
      <name val="Carlito"/>
    </font>
    <font>
      <b/>
      <sz val="8"/>
      <color rgb="FFFFFFFF"/>
      <name val="HCLTech Roobert"/>
      <family val="2"/>
    </font>
    <font>
      <sz val="8"/>
      <name val="HCLTech Roobert"/>
      <family val="2"/>
    </font>
    <font>
      <b/>
      <sz val="8"/>
      <name val="HCLTech Roobert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HCLTech Roobert"/>
      <family val="2"/>
    </font>
    <font>
      <sz val="11"/>
      <name val="HCLTech Roobert"/>
      <family val="2"/>
    </font>
    <font>
      <sz val="11"/>
      <color rgb="FFFF0000"/>
      <name val="HCLTech Roobert"/>
      <family val="2"/>
    </font>
    <font>
      <b/>
      <sz val="11"/>
      <name val="HCLTech Roobert"/>
      <family val="2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5B2D8C"/>
      </patternFill>
    </fill>
    <fill>
      <patternFill patternType="solid">
        <fgColor rgb="FF0B5ED7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164" fontId="4" fillId="0" borderId="0" xfId="0" applyNumberFormat="1" applyFont="1" applyAlignment="1">
      <alignment vertical="top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5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164" fontId="11" fillId="0" borderId="8" xfId="0" applyNumberFormat="1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164" fontId="11" fillId="0" borderId="1" xfId="0" applyNumberFormat="1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164" fontId="11" fillId="0" borderId="8" xfId="0" applyNumberFormat="1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8" fillId="0" borderId="0" xfId="0" applyFont="1"/>
    <xf numFmtId="0" fontId="13" fillId="0" borderId="0" xfId="0" applyFont="1"/>
    <xf numFmtId="164" fontId="11" fillId="0" borderId="1" xfId="0" applyNumberFormat="1" applyFont="1" applyBorder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56">
    <dxf>
      <font>
        <b/>
        <color rgb="FF16A34A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16A34A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FF0000"/>
        <name val="Carlito"/>
        <scheme val="none"/>
      </font>
    </dxf>
    <dxf>
      <font>
        <strike val="0"/>
        <outline val="0"/>
        <shadow val="0"/>
        <u val="none"/>
        <vertAlign val="baseline"/>
        <sz val="10"/>
        <color rgb="FFFF0000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HCLTech Roobert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HCLTech Roobert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RoleMatrix" displayName="TeamRoleMatrix" ref="A1:H10" headerRowDxfId="55" dataDxfId="53" totalsRowDxfId="51" headerRowBorderDxfId="54" tableBorderDxfId="52">
  <tableColumns count="8">
    <tableColumn id="1" xr3:uid="{00000000-0010-0000-0000-000001000000}" name="HCLTech Team Member" dataDxfId="50"/>
    <tableColumn id="2" xr3:uid="{00000000-0010-0000-0000-000002000000}" name="Project Role" dataDxfId="49"/>
    <tableColumn id="3" xr3:uid="{00000000-0010-0000-0000-000003000000}" name="Primary Accountability" dataDxfId="48"/>
    <tableColumn id="5" xr3:uid="{00000000-0010-0000-0000-000005000000}" name="Key Outputs Owned" dataDxfId="47"/>
    <tableColumn id="6" xr3:uid="{00000000-0010-0000-0000-000006000000}" name="Internal Cadence" dataDxfId="46"/>
    <tableColumn id="7" xr3:uid="{00000000-0010-0000-0000-000007000000}" name="Backup / Support" dataDxfId="45"/>
    <tableColumn id="9" xr3:uid="{00000000-0010-0000-0000-000009000000}" name="Critical Watchouts" dataDxfId="44"/>
    <tableColumn id="10" xr3:uid="{00000000-0010-0000-0000-00000A000000}" name="First 2-Week Focus" dataDxfId="4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orkstreamOwnership" displayName="WorkstreamOwnership" ref="A1:J9" headerRowDxfId="42" dataDxfId="40" totalsRowDxfId="38" headerRowBorderDxfId="41" tableBorderDxfId="39">
  <autoFilter ref="A1:J9" xr:uid="{00000000-000C-0000-FFFF-FFFF01000000}"/>
  <tableColumns count="10">
    <tableColumn id="1" xr3:uid="{00000000-0010-0000-0100-000001000000}" name="WS" dataDxfId="37"/>
    <tableColumn id="2" xr3:uid="{00000000-0010-0000-0100-000002000000}" name="Workstream" dataDxfId="36"/>
    <tableColumn id="3" xr3:uid="{00000000-0010-0000-0100-000003000000}" name="Phase" dataDxfId="35"/>
    <tableColumn id="4" xr3:uid="{00000000-0010-0000-0100-000004000000}" name="Primary HCL Owner" dataDxfId="34"/>
    <tableColumn id="5" xr3:uid="{00000000-0010-0000-0100-000005000000}" name="Supporting Team" dataDxfId="33"/>
    <tableColumn id="7" xr3:uid="{00000000-0010-0000-0100-000007000000}" name="Core Internal Responsibilities" dataDxfId="32"/>
    <tableColumn id="8" xr3:uid="{00000000-0010-0000-0100-000008000000}" name="Committed Deliverables" dataDxfId="31"/>
    <tableColumn id="9" xr3:uid="{00000000-0010-0000-0100-000009000000}" name="Quality Reviewer" dataDxfId="30"/>
    <tableColumn id="10" xr3:uid="{00000000-0010-0000-0100-00000A000000}" name="Internal Due / Gate (TBC)" dataDxfId="29"/>
    <tableColumn id="11" xr3:uid="{00000000-0010-0000-0100-00000B000000}" name="Notes" dataDxfId="2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liverableControl" displayName="DeliverableControl" ref="A4:L46">
  <autoFilter ref="A4:L46" xr:uid="{00000000-000C-0000-FFFF-FFFF04000000}"/>
  <tableColumns count="12">
    <tableColumn id="1" xr3:uid="{00000000-0010-0000-0400-000001000000}" name="ID"/>
    <tableColumn id="2" xr3:uid="{00000000-0010-0000-0400-000002000000}" name="Phase"/>
    <tableColumn id="3" xr3:uid="{00000000-0010-0000-0400-000003000000}" name="Workstream"/>
    <tableColumn id="4" xr3:uid="{00000000-0010-0000-0400-000004000000}" name="Deliverable"/>
    <tableColumn id="5" xr3:uid="{00000000-0010-0000-0400-000005000000}" name="Primary Owner"/>
    <tableColumn id="6" xr3:uid="{00000000-0010-0000-0400-000006000000}" name="Support"/>
    <tableColumn id="7" xr3:uid="{00000000-0010-0000-0400-000007000000}" name="Draft Due (TBC)" dataDxfId="27"/>
    <tableColumn id="8" xr3:uid="{00000000-0010-0000-0400-000008000000}" name="Final Due (TBC)" dataDxfId="26"/>
    <tableColumn id="9" xr3:uid="{00000000-0010-0000-0400-000009000000}" name="Status"/>
    <tableColumn id="10" xr3:uid="{00000000-0010-0000-0400-00000A000000}" name="QA Owner"/>
    <tableColumn id="11" xr3:uid="{00000000-0010-0000-0400-00000B000000}" name="Review Audience"/>
    <tableColumn id="12" xr3:uid="{00000000-0010-0000-0400-00000C000000}" name="Acceptance / Completion Ev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tailedTaskTracker" displayName="DetailedTaskTracker" ref="A1:O40" headerRowDxfId="25" dataDxfId="23" totalsRowDxfId="21" headerRowBorderDxfId="24" tableBorderDxfId="22">
  <autoFilter ref="A1:O40" xr:uid="{00000000-000C-0000-FFFF-FFFF02000000}"/>
  <tableColumns count="15">
    <tableColumn id="1" xr3:uid="{00000000-0010-0000-0200-000001000000}" name="Task ID" dataDxfId="20"/>
    <tableColumn id="2" xr3:uid="{00000000-0010-0000-0200-000002000000}" name="Phase" dataDxfId="19"/>
    <tableColumn id="3" xr3:uid="{00000000-0010-0000-0200-000003000000}" name="Workstream" dataDxfId="18"/>
    <tableColumn id="4" xr3:uid="{00000000-0010-0000-0200-000004000000}" name="Activity / Task" dataDxfId="17"/>
    <tableColumn id="5" xr3:uid="{00000000-0010-0000-0200-000005000000}" name="Primary Owner" dataDxfId="16"/>
    <tableColumn id="6" xr3:uid="{00000000-0010-0000-0200-000006000000}" name="Support" dataDxfId="15"/>
    <tableColumn id="7" xr3:uid="{00000000-0010-0000-0200-000007000000}" name="Start Date" dataDxfId="14"/>
    <tableColumn id="8" xr3:uid="{00000000-0010-0000-0200-000008000000}" name="Due Date" dataDxfId="13"/>
    <tableColumn id="9" xr3:uid="{00000000-0010-0000-0200-000009000000}" name="Internal Checkpoint" dataDxfId="12"/>
    <tableColumn id="10" xr3:uid="{00000000-0010-0000-0200-00000A000000}" name="Status" dataDxfId="11"/>
    <tableColumn id="11" xr3:uid="{00000000-0010-0000-0200-00000B000000}" name="RAG" dataDxfId="10"/>
    <tableColumn id="12" xr3:uid="{00000000-0010-0000-0200-00000C000000}" name="Priority" dataDxfId="9"/>
    <tableColumn id="13" xr3:uid="{00000000-0010-0000-0200-00000D000000}" name="Dependency / Input Needed" dataDxfId="8"/>
    <tableColumn id="14" xr3:uid="{00000000-0010-0000-0200-00000E000000}" name="Next Action" dataDxfId="7"/>
    <tableColumn id="15" xr3:uid="{00000000-0010-0000-0200-00000F000000}" name="Due Health" dataDxfId="6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5D2D-5D3C-42B7-B5BA-B666414ECD1C}">
  <dimension ref="B2:B28"/>
  <sheetViews>
    <sheetView showGridLines="0" workbookViewId="0">
      <selection activeCell="O13" sqref="O13"/>
    </sheetView>
  </sheetViews>
  <sheetFormatPr defaultRowHeight="13.8"/>
  <sheetData>
    <row r="2" spans="2:2" ht="14.4">
      <c r="B2" s="41" t="s">
        <v>561</v>
      </c>
    </row>
    <row r="4" spans="2:2">
      <c r="B4" t="s">
        <v>562</v>
      </c>
    </row>
    <row r="5" spans="2:2">
      <c r="B5" t="s">
        <v>563</v>
      </c>
    </row>
    <row r="7" spans="2:2">
      <c r="B7" s="42" t="s">
        <v>564</v>
      </c>
    </row>
    <row r="8" spans="2:2">
      <c r="B8" t="s">
        <v>565</v>
      </c>
    </row>
    <row r="9" spans="2:2">
      <c r="B9" t="s">
        <v>566</v>
      </c>
    </row>
    <row r="10" spans="2:2">
      <c r="B10" t="s">
        <v>567</v>
      </c>
    </row>
    <row r="11" spans="2:2">
      <c r="B11" t="s">
        <v>568</v>
      </c>
    </row>
    <row r="12" spans="2:2">
      <c r="B12" t="s">
        <v>569</v>
      </c>
    </row>
    <row r="13" spans="2:2">
      <c r="B13" t="s">
        <v>570</v>
      </c>
    </row>
    <row r="14" spans="2:2">
      <c r="B14" t="s">
        <v>571</v>
      </c>
    </row>
    <row r="15" spans="2:2">
      <c r="B15" t="s">
        <v>572</v>
      </c>
    </row>
    <row r="16" spans="2:2">
      <c r="B16" t="s">
        <v>573</v>
      </c>
    </row>
    <row r="17" spans="2:2">
      <c r="B17" t="s">
        <v>574</v>
      </c>
    </row>
    <row r="18" spans="2:2">
      <c r="B18" t="s">
        <v>575</v>
      </c>
    </row>
    <row r="22" spans="2:2" ht="14.4">
      <c r="B22" s="41" t="s">
        <v>576</v>
      </c>
    </row>
    <row r="24" spans="2:2">
      <c r="B24" t="s">
        <v>577</v>
      </c>
    </row>
    <row r="25" spans="2:2">
      <c r="B25" t="s">
        <v>578</v>
      </c>
    </row>
    <row r="26" spans="2:2">
      <c r="B26" t="s">
        <v>579</v>
      </c>
    </row>
    <row r="27" spans="2:2">
      <c r="B27" t="s">
        <v>580</v>
      </c>
    </row>
    <row r="28" spans="2:2">
      <c r="B28" t="s">
        <v>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10"/>
  <sheetViews>
    <sheetView showGridLines="0" workbookViewId="0">
      <pane ySplit="1" topLeftCell="A2" activePane="bottomLeft" state="frozen"/>
      <selection pane="bottomLeft" activeCell="A2" sqref="A2"/>
    </sheetView>
  </sheetViews>
  <sheetFormatPr defaultColWidth="8.69921875" defaultRowHeight="10.199999999999999"/>
  <cols>
    <col min="1" max="1" width="15.796875" style="10" bestFit="1" customWidth="1"/>
    <col min="2" max="2" width="24.5" style="10" customWidth="1"/>
    <col min="3" max="3" width="40.796875" style="10" bestFit="1" customWidth="1"/>
    <col min="4" max="4" width="27.59765625" style="10" bestFit="1" customWidth="1"/>
    <col min="5" max="5" width="26" style="10" bestFit="1" customWidth="1"/>
    <col min="6" max="6" width="19.09765625" style="10" bestFit="1" customWidth="1"/>
    <col min="7" max="7" width="32.69921875" style="10" bestFit="1" customWidth="1"/>
    <col min="8" max="8" width="32" style="10" bestFit="1" customWidth="1"/>
    <col min="9" max="16384" width="8.69921875" style="10"/>
  </cols>
  <sheetData>
    <row r="1" spans="1:8" ht="20.399999999999999">
      <c r="A1" s="5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7" t="s">
        <v>8</v>
      </c>
    </row>
    <row r="2" spans="1:8" ht="20.399999999999999">
      <c r="A2" s="11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3" t="s">
        <v>16</v>
      </c>
    </row>
    <row r="3" spans="1:8" ht="30.6">
      <c r="A3" s="11" t="s">
        <v>14</v>
      </c>
      <c r="B3" s="12" t="s">
        <v>17</v>
      </c>
      <c r="C3" s="12" t="s">
        <v>18</v>
      </c>
      <c r="D3" s="12" t="s">
        <v>19</v>
      </c>
      <c r="E3" s="12" t="s">
        <v>20</v>
      </c>
      <c r="F3" s="12" t="s">
        <v>25</v>
      </c>
      <c r="G3" s="12" t="s">
        <v>21</v>
      </c>
      <c r="H3" s="13" t="s">
        <v>22</v>
      </c>
    </row>
    <row r="4" spans="1:8" ht="30.6">
      <c r="A4" s="11" t="s">
        <v>29</v>
      </c>
      <c r="B4" s="12" t="s">
        <v>32</v>
      </c>
      <c r="C4" s="12" t="s">
        <v>540</v>
      </c>
      <c r="D4" s="12" t="s">
        <v>541</v>
      </c>
      <c r="E4" s="12" t="s">
        <v>28</v>
      </c>
      <c r="F4" s="12" t="s">
        <v>23</v>
      </c>
      <c r="G4" s="12" t="s">
        <v>24</v>
      </c>
      <c r="H4" s="13"/>
    </row>
    <row r="5" spans="1:8" ht="20.399999999999999">
      <c r="A5" s="11" t="s">
        <v>25</v>
      </c>
      <c r="B5" s="12" t="s">
        <v>552</v>
      </c>
      <c r="C5" s="12" t="s">
        <v>26</v>
      </c>
      <c r="D5" s="12" t="s">
        <v>27</v>
      </c>
      <c r="E5" s="12" t="s">
        <v>28</v>
      </c>
      <c r="F5" s="12" t="s">
        <v>29</v>
      </c>
      <c r="G5" s="12" t="s">
        <v>30</v>
      </c>
      <c r="H5" s="13" t="s">
        <v>31</v>
      </c>
    </row>
    <row r="6" spans="1:8" ht="40.799999999999997">
      <c r="A6" s="11" t="s">
        <v>23</v>
      </c>
      <c r="B6" s="12" t="s">
        <v>32</v>
      </c>
      <c r="C6" s="12" t="s">
        <v>539</v>
      </c>
      <c r="D6" s="12" t="s">
        <v>542</v>
      </c>
      <c r="E6" s="12" t="s">
        <v>33</v>
      </c>
      <c r="F6" s="12" t="s">
        <v>29</v>
      </c>
      <c r="G6" s="12" t="s">
        <v>35</v>
      </c>
      <c r="H6" s="13" t="s">
        <v>543</v>
      </c>
    </row>
    <row r="7" spans="1:8" ht="20.399999999999999">
      <c r="A7" s="11" t="s">
        <v>38</v>
      </c>
      <c r="B7" s="12" t="s">
        <v>39</v>
      </c>
      <c r="C7" s="12" t="s">
        <v>40</v>
      </c>
      <c r="D7" s="12" t="s">
        <v>41</v>
      </c>
      <c r="E7" s="12" t="s">
        <v>42</v>
      </c>
      <c r="F7" s="12" t="s">
        <v>14</v>
      </c>
      <c r="G7" s="12" t="s">
        <v>43</v>
      </c>
      <c r="H7" s="13" t="s">
        <v>44</v>
      </c>
    </row>
    <row r="8" spans="1:8" ht="30.6">
      <c r="A8" s="11" t="s">
        <v>45</v>
      </c>
      <c r="B8" s="12" t="s">
        <v>553</v>
      </c>
      <c r="C8" s="12" t="s">
        <v>36</v>
      </c>
      <c r="D8" s="12" t="s">
        <v>37</v>
      </c>
      <c r="E8" s="12" t="s">
        <v>46</v>
      </c>
      <c r="F8" s="12" t="s">
        <v>47</v>
      </c>
      <c r="G8" s="12" t="s">
        <v>550</v>
      </c>
      <c r="H8" s="13" t="s">
        <v>551</v>
      </c>
    </row>
    <row r="9" spans="1:8" ht="20.399999999999999">
      <c r="A9" s="11" t="s">
        <v>48</v>
      </c>
      <c r="B9" s="12" t="s">
        <v>558</v>
      </c>
      <c r="C9" s="12" t="s">
        <v>557</v>
      </c>
      <c r="D9" s="12" t="s">
        <v>49</v>
      </c>
      <c r="E9" s="12" t="s">
        <v>50</v>
      </c>
      <c r="F9" s="12" t="s">
        <v>47</v>
      </c>
      <c r="G9" s="12" t="s">
        <v>51</v>
      </c>
      <c r="H9" s="13" t="s">
        <v>52</v>
      </c>
    </row>
    <row r="10" spans="1:8" ht="30.6">
      <c r="A10" s="14" t="s">
        <v>47</v>
      </c>
      <c r="B10" s="15" t="s">
        <v>53</v>
      </c>
      <c r="C10" s="15" t="s">
        <v>54</v>
      </c>
      <c r="D10" s="15" t="s">
        <v>55</v>
      </c>
      <c r="E10" s="15" t="s">
        <v>56</v>
      </c>
      <c r="F10" s="15" t="s">
        <v>57</v>
      </c>
      <c r="G10" s="15" t="s">
        <v>58</v>
      </c>
      <c r="H10" s="16" t="s">
        <v>59</v>
      </c>
    </row>
  </sheetData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59999389629810485"/>
  </sheetPr>
  <dimension ref="A1:J9"/>
  <sheetViews>
    <sheetView showGridLines="0" zoomScale="70" zoomScaleNormal="70" workbookViewId="0">
      <pane ySplit="1" topLeftCell="A2" activePane="bottomLeft" state="frozen"/>
      <selection pane="bottomLeft" activeCell="A9" activeCellId="2" sqref="A4 A7 A9"/>
    </sheetView>
  </sheetViews>
  <sheetFormatPr defaultColWidth="8.69921875" defaultRowHeight="10.199999999999999"/>
  <cols>
    <col min="1" max="1" width="8.5" style="8" customWidth="1"/>
    <col min="2" max="2" width="30.796875" style="8" bestFit="1" customWidth="1"/>
    <col min="3" max="3" width="13.19921875" style="8" customWidth="1"/>
    <col min="4" max="4" width="23.09765625" style="8" customWidth="1"/>
    <col min="5" max="5" width="24.09765625" style="8" bestFit="1" customWidth="1"/>
    <col min="6" max="6" width="42.09765625" style="8" customWidth="1"/>
    <col min="7" max="7" width="54.796875" style="8" customWidth="1"/>
    <col min="8" max="8" width="11.19921875" style="8" bestFit="1" customWidth="1"/>
    <col min="9" max="9" width="13.19921875" style="8" bestFit="1" customWidth="1"/>
    <col min="10" max="10" width="24" style="8" bestFit="1" customWidth="1"/>
    <col min="11" max="16384" width="8.69921875" style="8"/>
  </cols>
  <sheetData>
    <row r="1" spans="1:10" s="9" customFormat="1" ht="27.6">
      <c r="A1" s="28" t="s">
        <v>60</v>
      </c>
      <c r="B1" s="29" t="s">
        <v>61</v>
      </c>
      <c r="C1" s="29" t="s">
        <v>62</v>
      </c>
      <c r="D1" s="29" t="s">
        <v>63</v>
      </c>
      <c r="E1" s="29" t="s">
        <v>64</v>
      </c>
      <c r="F1" s="29" t="s">
        <v>65</v>
      </c>
      <c r="G1" s="29" t="s">
        <v>66</v>
      </c>
      <c r="H1" s="29" t="s">
        <v>67</v>
      </c>
      <c r="I1" s="29" t="s">
        <v>559</v>
      </c>
      <c r="J1" s="30" t="s">
        <v>68</v>
      </c>
    </row>
    <row r="2" spans="1:10" ht="27.6">
      <c r="A2" s="31" t="s">
        <v>69</v>
      </c>
      <c r="B2" s="32" t="s">
        <v>70</v>
      </c>
      <c r="C2" s="32" t="s">
        <v>71</v>
      </c>
      <c r="D2" s="33" t="s">
        <v>47</v>
      </c>
      <c r="E2" s="33" t="s">
        <v>133</v>
      </c>
      <c r="F2" s="32" t="s">
        <v>72</v>
      </c>
      <c r="G2" s="32" t="s">
        <v>73</v>
      </c>
      <c r="H2" s="33" t="s">
        <v>74</v>
      </c>
      <c r="I2" s="34">
        <v>46185</v>
      </c>
      <c r="J2" s="35" t="s">
        <v>75</v>
      </c>
    </row>
    <row r="3" spans="1:10" ht="27.6">
      <c r="A3" s="31" t="s">
        <v>76</v>
      </c>
      <c r="B3" s="32" t="s">
        <v>77</v>
      </c>
      <c r="C3" s="32" t="s">
        <v>78</v>
      </c>
      <c r="D3" s="33" t="s">
        <v>23</v>
      </c>
      <c r="E3" s="33" t="s">
        <v>554</v>
      </c>
      <c r="F3" s="32" t="s">
        <v>79</v>
      </c>
      <c r="G3" s="32" t="s">
        <v>80</v>
      </c>
      <c r="H3" s="33" t="s">
        <v>74</v>
      </c>
      <c r="I3" s="34">
        <v>46227</v>
      </c>
      <c r="J3" s="35" t="s">
        <v>81</v>
      </c>
    </row>
    <row r="4" spans="1:10" ht="55.2">
      <c r="A4" s="31" t="s">
        <v>82</v>
      </c>
      <c r="B4" s="32" t="s">
        <v>83</v>
      </c>
      <c r="C4" s="32" t="s">
        <v>78</v>
      </c>
      <c r="D4" s="33" t="s">
        <v>29</v>
      </c>
      <c r="E4" s="33" t="s">
        <v>555</v>
      </c>
      <c r="F4" s="32" t="s">
        <v>84</v>
      </c>
      <c r="G4" s="32" t="s">
        <v>85</v>
      </c>
      <c r="H4" s="33" t="s">
        <v>538</v>
      </c>
      <c r="I4" s="34">
        <v>46227</v>
      </c>
      <c r="J4" s="35" t="s">
        <v>86</v>
      </c>
    </row>
    <row r="5" spans="1:10" ht="41.4">
      <c r="A5" s="31" t="s">
        <v>87</v>
      </c>
      <c r="B5" s="32" t="s">
        <v>88</v>
      </c>
      <c r="C5" s="32" t="s">
        <v>89</v>
      </c>
      <c r="D5" s="33" t="s">
        <v>38</v>
      </c>
      <c r="E5" s="33" t="s">
        <v>556</v>
      </c>
      <c r="F5" s="32" t="s">
        <v>90</v>
      </c>
      <c r="G5" s="32" t="s">
        <v>91</v>
      </c>
      <c r="H5" s="33" t="s">
        <v>74</v>
      </c>
      <c r="I5" s="34">
        <v>46262</v>
      </c>
      <c r="J5" s="35" t="s">
        <v>92</v>
      </c>
    </row>
    <row r="6" spans="1:10" ht="41.4">
      <c r="A6" s="31" t="s">
        <v>93</v>
      </c>
      <c r="B6" s="32" t="s">
        <v>94</v>
      </c>
      <c r="C6" s="32" t="s">
        <v>89</v>
      </c>
      <c r="D6" s="33" t="s">
        <v>25</v>
      </c>
      <c r="E6" s="33" t="s">
        <v>95</v>
      </c>
      <c r="F6" s="32" t="s">
        <v>96</v>
      </c>
      <c r="G6" s="32" t="s">
        <v>97</v>
      </c>
      <c r="H6" s="33" t="s">
        <v>74</v>
      </c>
      <c r="I6" s="34">
        <v>46262</v>
      </c>
      <c r="J6" s="35" t="s">
        <v>98</v>
      </c>
    </row>
    <row r="7" spans="1:10" ht="27.6">
      <c r="A7" s="31" t="s">
        <v>99</v>
      </c>
      <c r="B7" s="32" t="s">
        <v>100</v>
      </c>
      <c r="C7" s="32" t="s">
        <v>89</v>
      </c>
      <c r="D7" s="33" t="s">
        <v>29</v>
      </c>
      <c r="E7" s="33" t="s">
        <v>244</v>
      </c>
      <c r="F7" s="32" t="s">
        <v>101</v>
      </c>
      <c r="G7" s="32" t="s">
        <v>102</v>
      </c>
      <c r="H7" s="33" t="s">
        <v>74</v>
      </c>
      <c r="I7" s="34">
        <v>46269</v>
      </c>
      <c r="J7" s="35" t="s">
        <v>103</v>
      </c>
    </row>
    <row r="8" spans="1:10" ht="27.6">
      <c r="A8" s="31" t="s">
        <v>104</v>
      </c>
      <c r="B8" s="32" t="s">
        <v>105</v>
      </c>
      <c r="C8" s="32" t="s">
        <v>106</v>
      </c>
      <c r="D8" s="33" t="s">
        <v>14</v>
      </c>
      <c r="E8" s="33" t="s">
        <v>107</v>
      </c>
      <c r="F8" s="32" t="s">
        <v>108</v>
      </c>
      <c r="G8" s="32" t="s">
        <v>109</v>
      </c>
      <c r="H8" s="33" t="s">
        <v>537</v>
      </c>
      <c r="I8" s="34">
        <v>46283</v>
      </c>
      <c r="J8" s="35" t="s">
        <v>110</v>
      </c>
    </row>
    <row r="9" spans="1:10" ht="41.4">
      <c r="A9" s="36" t="s">
        <v>582</v>
      </c>
      <c r="B9" s="37" t="s">
        <v>112</v>
      </c>
      <c r="C9" s="37" t="s">
        <v>106</v>
      </c>
      <c r="D9" s="38" t="s">
        <v>29</v>
      </c>
      <c r="E9" s="38" t="s">
        <v>244</v>
      </c>
      <c r="F9" s="37" t="s">
        <v>113</v>
      </c>
      <c r="G9" s="37" t="s">
        <v>114</v>
      </c>
      <c r="H9" s="38" t="s">
        <v>74</v>
      </c>
      <c r="I9" s="39">
        <v>46276</v>
      </c>
      <c r="J9" s="40" t="s">
        <v>115</v>
      </c>
    </row>
  </sheetData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L46"/>
  <sheetViews>
    <sheetView showGridLines="0" workbookViewId="0">
      <selection activeCell="F7" sqref="F7"/>
    </sheetView>
  </sheetViews>
  <sheetFormatPr defaultRowHeight="13.8"/>
  <cols>
    <col min="1" max="1" width="8" customWidth="1"/>
    <col min="2" max="2" width="6.8984375" bestFit="1" customWidth="1"/>
    <col min="3" max="3" width="11.5" bestFit="1" customWidth="1"/>
    <col min="4" max="4" width="40" customWidth="1"/>
    <col min="5" max="5" width="24" customWidth="1"/>
    <col min="6" max="6" width="22.59765625" bestFit="1" customWidth="1"/>
    <col min="7" max="9" width="10.3984375" bestFit="1" customWidth="1"/>
    <col min="10" max="10" width="13.8984375" bestFit="1" customWidth="1"/>
    <col min="11" max="11" width="24" customWidth="1"/>
    <col min="12" max="12" width="40.3984375" customWidth="1"/>
  </cols>
  <sheetData>
    <row r="1" spans="1:12" ht="18.600000000000001" customHeight="1">
      <c r="A1" s="44" t="s">
        <v>368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14.7" customHeight="1">
      <c r="A2" s="46" t="s">
        <v>560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4" spans="1:12" ht="27.6">
      <c r="A4" s="3" t="s">
        <v>369</v>
      </c>
      <c r="B4" s="3" t="s">
        <v>62</v>
      </c>
      <c r="C4" s="3" t="s">
        <v>61</v>
      </c>
      <c r="D4" s="3" t="s">
        <v>370</v>
      </c>
      <c r="E4" s="3" t="s">
        <v>118</v>
      </c>
      <c r="F4" s="3" t="s">
        <v>119</v>
      </c>
      <c r="G4" s="3" t="s">
        <v>547</v>
      </c>
      <c r="H4" s="3" t="s">
        <v>548</v>
      </c>
      <c r="I4" s="3" t="s">
        <v>123</v>
      </c>
      <c r="J4" s="3" t="s">
        <v>371</v>
      </c>
      <c r="K4" s="3" t="s">
        <v>372</v>
      </c>
      <c r="L4" s="3" t="s">
        <v>373</v>
      </c>
    </row>
    <row r="5" spans="1:12">
      <c r="A5" s="2" t="s">
        <v>374</v>
      </c>
      <c r="B5" s="2" t="s">
        <v>71</v>
      </c>
      <c r="C5" s="2" t="s">
        <v>69</v>
      </c>
      <c r="D5" s="2" t="s">
        <v>375</v>
      </c>
      <c r="E5" s="2" t="s">
        <v>47</v>
      </c>
      <c r="F5" s="2" t="s">
        <v>177</v>
      </c>
      <c r="G5" s="4">
        <v>46182</v>
      </c>
      <c r="H5" s="4">
        <v>46185</v>
      </c>
      <c r="I5" s="2" t="s">
        <v>135</v>
      </c>
      <c r="J5" s="2" t="s">
        <v>74</v>
      </c>
      <c r="K5" s="2" t="s">
        <v>376</v>
      </c>
      <c r="L5" s="2" t="s">
        <v>377</v>
      </c>
    </row>
    <row r="6" spans="1:12">
      <c r="A6" s="2" t="s">
        <v>378</v>
      </c>
      <c r="B6" s="2" t="s">
        <v>71</v>
      </c>
      <c r="C6" s="2" t="s">
        <v>69</v>
      </c>
      <c r="D6" s="2" t="s">
        <v>379</v>
      </c>
      <c r="E6" s="2" t="s">
        <v>47</v>
      </c>
      <c r="F6" s="2" t="s">
        <v>74</v>
      </c>
      <c r="G6" s="4">
        <v>46182</v>
      </c>
      <c r="H6" s="4">
        <v>46185</v>
      </c>
      <c r="I6" s="2" t="s">
        <v>135</v>
      </c>
      <c r="J6" s="2" t="s">
        <v>74</v>
      </c>
      <c r="K6" s="2" t="s">
        <v>380</v>
      </c>
      <c r="L6" s="2" t="s">
        <v>381</v>
      </c>
    </row>
    <row r="7" spans="1:12">
      <c r="A7" s="2" t="s">
        <v>382</v>
      </c>
      <c r="B7" s="2" t="s">
        <v>71</v>
      </c>
      <c r="C7" s="2" t="s">
        <v>69</v>
      </c>
      <c r="D7" s="2" t="s">
        <v>383</v>
      </c>
      <c r="E7" s="2" t="s">
        <v>47</v>
      </c>
      <c r="F7" s="2" t="s">
        <v>133</v>
      </c>
      <c r="G7" s="4">
        <v>46179</v>
      </c>
      <c r="H7" s="4">
        <v>46185</v>
      </c>
      <c r="I7" s="2" t="s">
        <v>135</v>
      </c>
      <c r="J7" s="2" t="s">
        <v>74</v>
      </c>
      <c r="K7" s="2" t="s">
        <v>366</v>
      </c>
      <c r="L7" s="2" t="s">
        <v>384</v>
      </c>
    </row>
    <row r="8" spans="1:12">
      <c r="A8" s="2" t="s">
        <v>385</v>
      </c>
      <c r="B8" s="2" t="s">
        <v>71</v>
      </c>
      <c r="C8" s="2" t="s">
        <v>69</v>
      </c>
      <c r="D8" s="2" t="s">
        <v>386</v>
      </c>
      <c r="E8" s="2" t="s">
        <v>47</v>
      </c>
      <c r="F8" s="2" t="s">
        <v>177</v>
      </c>
      <c r="G8" s="4">
        <v>46179</v>
      </c>
      <c r="H8" s="4">
        <v>46185</v>
      </c>
      <c r="I8" s="2" t="s">
        <v>135</v>
      </c>
      <c r="J8" s="2" t="s">
        <v>74</v>
      </c>
      <c r="K8" s="2" t="s">
        <v>380</v>
      </c>
      <c r="L8" s="2" t="s">
        <v>387</v>
      </c>
    </row>
    <row r="9" spans="1:12">
      <c r="A9" s="2" t="s">
        <v>388</v>
      </c>
      <c r="B9" s="2" t="s">
        <v>71</v>
      </c>
      <c r="C9" s="2" t="s">
        <v>69</v>
      </c>
      <c r="D9" s="2" t="s">
        <v>389</v>
      </c>
      <c r="E9" s="2" t="s">
        <v>25</v>
      </c>
      <c r="F9" s="2" t="s">
        <v>148</v>
      </c>
      <c r="G9" s="4">
        <v>46183</v>
      </c>
      <c r="H9" s="4">
        <v>46185</v>
      </c>
      <c r="I9" s="2" t="s">
        <v>166</v>
      </c>
      <c r="J9" s="2" t="s">
        <v>74</v>
      </c>
      <c r="K9" s="2" t="s">
        <v>380</v>
      </c>
      <c r="L9" s="2" t="s">
        <v>390</v>
      </c>
    </row>
    <row r="10" spans="1:12">
      <c r="A10" s="2" t="s">
        <v>391</v>
      </c>
      <c r="B10" s="2" t="s">
        <v>78</v>
      </c>
      <c r="C10" s="2" t="s">
        <v>76</v>
      </c>
      <c r="D10" s="2" t="s">
        <v>392</v>
      </c>
      <c r="E10" s="2" t="s">
        <v>23</v>
      </c>
      <c r="F10" s="2" t="s">
        <v>393</v>
      </c>
      <c r="G10" s="4">
        <v>46209</v>
      </c>
      <c r="H10" s="4">
        <v>46215</v>
      </c>
      <c r="I10" s="2" t="s">
        <v>166</v>
      </c>
      <c r="J10" s="2" t="s">
        <v>74</v>
      </c>
      <c r="K10" s="2" t="s">
        <v>394</v>
      </c>
      <c r="L10" s="2" t="s">
        <v>395</v>
      </c>
    </row>
    <row r="11" spans="1:12">
      <c r="A11" s="2" t="s">
        <v>396</v>
      </c>
      <c r="B11" s="2" t="s">
        <v>78</v>
      </c>
      <c r="C11" s="2" t="s">
        <v>76</v>
      </c>
      <c r="D11" s="2" t="s">
        <v>397</v>
      </c>
      <c r="E11" s="2" t="s">
        <v>23</v>
      </c>
      <c r="F11" s="2" t="s">
        <v>367</v>
      </c>
      <c r="G11" s="4">
        <v>46209</v>
      </c>
      <c r="H11" s="4">
        <v>46215</v>
      </c>
      <c r="I11" s="2" t="s">
        <v>166</v>
      </c>
      <c r="J11" s="2" t="s">
        <v>74</v>
      </c>
      <c r="K11" s="2" t="s">
        <v>394</v>
      </c>
      <c r="L11" s="2" t="s">
        <v>398</v>
      </c>
    </row>
    <row r="12" spans="1:12">
      <c r="A12" s="2" t="s">
        <v>399</v>
      </c>
      <c r="B12" s="2" t="s">
        <v>78</v>
      </c>
      <c r="C12" s="2" t="s">
        <v>76</v>
      </c>
      <c r="D12" s="2" t="s">
        <v>400</v>
      </c>
      <c r="E12" s="2" t="s">
        <v>48</v>
      </c>
      <c r="F12" s="2" t="s">
        <v>401</v>
      </c>
      <c r="G12" s="4">
        <v>46209</v>
      </c>
      <c r="H12" s="4">
        <v>46215</v>
      </c>
      <c r="I12" s="2" t="s">
        <v>166</v>
      </c>
      <c r="J12" s="2" t="s">
        <v>401</v>
      </c>
      <c r="K12" s="2" t="s">
        <v>34</v>
      </c>
      <c r="L12" s="2" t="s">
        <v>402</v>
      </c>
    </row>
    <row r="13" spans="1:12">
      <c r="A13" s="2" t="s">
        <v>403</v>
      </c>
      <c r="B13" s="2" t="s">
        <v>78</v>
      </c>
      <c r="C13" s="2" t="s">
        <v>76</v>
      </c>
      <c r="D13" s="2" t="s">
        <v>404</v>
      </c>
      <c r="E13" s="2" t="s">
        <v>45</v>
      </c>
      <c r="F13" s="2" t="s">
        <v>401</v>
      </c>
      <c r="G13" s="4">
        <v>46209</v>
      </c>
      <c r="H13" s="4">
        <v>46215</v>
      </c>
      <c r="I13" s="2" t="s">
        <v>166</v>
      </c>
      <c r="J13" s="2" t="s">
        <v>74</v>
      </c>
      <c r="K13" s="2" t="s">
        <v>394</v>
      </c>
      <c r="L13" s="2" t="s">
        <v>405</v>
      </c>
    </row>
    <row r="14" spans="1:12">
      <c r="A14" s="2" t="s">
        <v>406</v>
      </c>
      <c r="B14" s="2" t="s">
        <v>78</v>
      </c>
      <c r="C14" s="2" t="s">
        <v>82</v>
      </c>
      <c r="D14" s="2" t="s">
        <v>407</v>
      </c>
      <c r="E14" s="2" t="s">
        <v>48</v>
      </c>
      <c r="F14" s="2" t="s">
        <v>298</v>
      </c>
      <c r="G14" s="4">
        <v>46191</v>
      </c>
      <c r="H14" s="4">
        <v>46198</v>
      </c>
      <c r="I14" s="2" t="s">
        <v>166</v>
      </c>
      <c r="J14" s="2" t="s">
        <v>74</v>
      </c>
      <c r="K14" s="2" t="s">
        <v>34</v>
      </c>
      <c r="L14" s="2" t="s">
        <v>409</v>
      </c>
    </row>
    <row r="15" spans="1:12">
      <c r="A15" s="2" t="s">
        <v>410</v>
      </c>
      <c r="B15" s="2" t="s">
        <v>78</v>
      </c>
      <c r="C15" s="2" t="s">
        <v>82</v>
      </c>
      <c r="D15" s="2" t="s">
        <v>411</v>
      </c>
      <c r="E15" s="2" t="s">
        <v>48</v>
      </c>
      <c r="F15" s="2" t="s">
        <v>412</v>
      </c>
      <c r="G15" s="4">
        <v>46191</v>
      </c>
      <c r="H15" s="4">
        <v>46198</v>
      </c>
      <c r="I15" s="2" t="s">
        <v>166</v>
      </c>
      <c r="J15" s="2" t="s">
        <v>413</v>
      </c>
      <c r="K15" s="2" t="s">
        <v>34</v>
      </c>
      <c r="L15" s="2" t="s">
        <v>414</v>
      </c>
    </row>
    <row r="16" spans="1:12">
      <c r="A16" s="2" t="s">
        <v>415</v>
      </c>
      <c r="B16" s="2" t="s">
        <v>78</v>
      </c>
      <c r="C16" s="2" t="s">
        <v>82</v>
      </c>
      <c r="D16" s="2" t="s">
        <v>416</v>
      </c>
      <c r="E16" s="2" t="s">
        <v>29</v>
      </c>
      <c r="F16" s="2" t="s">
        <v>133</v>
      </c>
      <c r="G16" s="4">
        <v>46191</v>
      </c>
      <c r="H16" s="4">
        <v>46198</v>
      </c>
      <c r="I16" s="2" t="s">
        <v>166</v>
      </c>
      <c r="J16" s="2" t="s">
        <v>74</v>
      </c>
      <c r="K16" s="2" t="s">
        <v>417</v>
      </c>
      <c r="L16" s="2" t="s">
        <v>418</v>
      </c>
    </row>
    <row r="17" spans="1:12">
      <c r="A17" s="2" t="s">
        <v>419</v>
      </c>
      <c r="B17" s="2" t="s">
        <v>78</v>
      </c>
      <c r="C17" s="2" t="s">
        <v>82</v>
      </c>
      <c r="D17" s="2" t="s">
        <v>420</v>
      </c>
      <c r="E17" s="2" t="s">
        <v>29</v>
      </c>
      <c r="F17" s="2" t="s">
        <v>133</v>
      </c>
      <c r="G17" s="4">
        <v>46191</v>
      </c>
      <c r="H17" s="4">
        <v>46198</v>
      </c>
      <c r="I17" s="2" t="s">
        <v>166</v>
      </c>
      <c r="J17" s="2" t="s">
        <v>74</v>
      </c>
      <c r="K17" s="2" t="s">
        <v>34</v>
      </c>
      <c r="L17" s="2" t="s">
        <v>421</v>
      </c>
    </row>
    <row r="18" spans="1:12">
      <c r="A18" s="2" t="s">
        <v>422</v>
      </c>
      <c r="B18" s="2" t="s">
        <v>78</v>
      </c>
      <c r="C18" s="2" t="s">
        <v>82</v>
      </c>
      <c r="D18" s="2" t="s">
        <v>423</v>
      </c>
      <c r="E18" s="2" t="s">
        <v>45</v>
      </c>
      <c r="F18" s="2" t="s">
        <v>424</v>
      </c>
      <c r="G18" s="4">
        <v>46191</v>
      </c>
      <c r="H18" s="4">
        <v>46198</v>
      </c>
      <c r="I18" s="2" t="s">
        <v>166</v>
      </c>
      <c r="J18" s="2" t="s">
        <v>424</v>
      </c>
      <c r="K18" s="2" t="s">
        <v>425</v>
      </c>
      <c r="L18" s="2" t="s">
        <v>426</v>
      </c>
    </row>
    <row r="19" spans="1:12">
      <c r="A19" s="2" t="s">
        <v>427</v>
      </c>
      <c r="B19" s="2" t="s">
        <v>78</v>
      </c>
      <c r="C19" s="2" t="s">
        <v>82</v>
      </c>
      <c r="D19" s="2" t="s">
        <v>428</v>
      </c>
      <c r="E19" s="2" t="s">
        <v>25</v>
      </c>
      <c r="F19" s="2" t="s">
        <v>148</v>
      </c>
      <c r="G19" s="4">
        <v>46191</v>
      </c>
      <c r="H19" s="4">
        <v>46198</v>
      </c>
      <c r="I19" s="2" t="s">
        <v>166</v>
      </c>
      <c r="J19" s="2" t="s">
        <v>74</v>
      </c>
      <c r="K19" s="2" t="s">
        <v>429</v>
      </c>
      <c r="L19" s="2" t="s">
        <v>430</v>
      </c>
    </row>
    <row r="20" spans="1:12">
      <c r="A20" s="2" t="s">
        <v>431</v>
      </c>
      <c r="B20" s="2" t="s">
        <v>78</v>
      </c>
      <c r="C20" s="2" t="s">
        <v>82</v>
      </c>
      <c r="D20" s="2" t="s">
        <v>432</v>
      </c>
      <c r="E20" s="2" t="s">
        <v>48</v>
      </c>
      <c r="F20" s="2" t="s">
        <v>148</v>
      </c>
      <c r="G20" s="4">
        <v>46191</v>
      </c>
      <c r="H20" s="4">
        <v>46198</v>
      </c>
      <c r="I20" s="2" t="s">
        <v>166</v>
      </c>
      <c r="J20" s="2" t="s">
        <v>74</v>
      </c>
      <c r="K20" s="2" t="s">
        <v>429</v>
      </c>
      <c r="L20" s="2" t="s">
        <v>433</v>
      </c>
    </row>
    <row r="21" spans="1:12">
      <c r="A21" s="2" t="s">
        <v>434</v>
      </c>
      <c r="B21" s="2" t="s">
        <v>78</v>
      </c>
      <c r="C21" s="2" t="s">
        <v>82</v>
      </c>
      <c r="D21" s="2" t="s">
        <v>549</v>
      </c>
      <c r="E21" s="2" t="s">
        <v>48</v>
      </c>
      <c r="F21" s="2" t="s">
        <v>401</v>
      </c>
      <c r="G21" s="4">
        <v>46191</v>
      </c>
      <c r="H21" s="4">
        <v>46198</v>
      </c>
      <c r="I21" s="2" t="s">
        <v>166</v>
      </c>
      <c r="J21" s="2" t="s">
        <v>148</v>
      </c>
      <c r="K21" s="2" t="s">
        <v>34</v>
      </c>
      <c r="L21" s="2" t="s">
        <v>435</v>
      </c>
    </row>
    <row r="22" spans="1:12">
      <c r="A22" s="2" t="s">
        <v>436</v>
      </c>
      <c r="B22" s="2" t="s">
        <v>89</v>
      </c>
      <c r="C22" s="2" t="s">
        <v>87</v>
      </c>
      <c r="D22" s="2" t="s">
        <v>437</v>
      </c>
      <c r="E22" s="2" t="s">
        <v>38</v>
      </c>
      <c r="F22" s="2" t="s">
        <v>269</v>
      </c>
      <c r="G22" s="4">
        <v>46248</v>
      </c>
      <c r="H22" s="4">
        <v>46262</v>
      </c>
      <c r="I22" s="2" t="s">
        <v>166</v>
      </c>
      <c r="J22" s="2" t="s">
        <v>74</v>
      </c>
      <c r="K22" s="2" t="s">
        <v>394</v>
      </c>
      <c r="L22" s="2" t="s">
        <v>438</v>
      </c>
    </row>
    <row r="23" spans="1:12">
      <c r="A23" s="2" t="s">
        <v>439</v>
      </c>
      <c r="B23" s="2" t="s">
        <v>89</v>
      </c>
      <c r="C23" s="2" t="s">
        <v>87</v>
      </c>
      <c r="D23" s="2" t="s">
        <v>440</v>
      </c>
      <c r="E23" s="2" t="s">
        <v>38</v>
      </c>
      <c r="F23" s="2" t="s">
        <v>177</v>
      </c>
      <c r="G23" s="4">
        <v>46251</v>
      </c>
      <c r="H23" s="4">
        <v>46262</v>
      </c>
      <c r="I23" s="2" t="s">
        <v>166</v>
      </c>
      <c r="J23" s="2" t="s">
        <v>74</v>
      </c>
      <c r="K23" s="2" t="s">
        <v>394</v>
      </c>
      <c r="L23" s="2" t="s">
        <v>441</v>
      </c>
    </row>
    <row r="24" spans="1:12">
      <c r="A24" s="2" t="s">
        <v>442</v>
      </c>
      <c r="B24" s="2" t="s">
        <v>89</v>
      </c>
      <c r="C24" s="2" t="s">
        <v>87</v>
      </c>
      <c r="D24" s="2" t="s">
        <v>443</v>
      </c>
      <c r="E24" s="2" t="s">
        <v>38</v>
      </c>
      <c r="F24" s="2" t="s">
        <v>401</v>
      </c>
      <c r="G24" s="4">
        <v>46248</v>
      </c>
      <c r="H24" s="4">
        <v>46262</v>
      </c>
      <c r="I24" s="2" t="s">
        <v>166</v>
      </c>
      <c r="J24" s="2" t="s">
        <v>74</v>
      </c>
      <c r="K24" s="2" t="s">
        <v>394</v>
      </c>
      <c r="L24" s="2" t="s">
        <v>444</v>
      </c>
    </row>
    <row r="25" spans="1:12">
      <c r="A25" s="2" t="s">
        <v>445</v>
      </c>
      <c r="B25" s="2" t="s">
        <v>89</v>
      </c>
      <c r="C25" s="2" t="s">
        <v>87</v>
      </c>
      <c r="D25" s="2" t="s">
        <v>446</v>
      </c>
      <c r="E25" s="2" t="s">
        <v>38</v>
      </c>
      <c r="F25" s="2" t="s">
        <v>546</v>
      </c>
      <c r="G25" s="4">
        <v>46255</v>
      </c>
      <c r="H25" s="4">
        <v>46262</v>
      </c>
      <c r="I25" s="2" t="s">
        <v>166</v>
      </c>
      <c r="J25" s="2" t="s">
        <v>74</v>
      </c>
      <c r="K25" s="2" t="s">
        <v>447</v>
      </c>
      <c r="L25" s="2" t="s">
        <v>0</v>
      </c>
    </row>
    <row r="26" spans="1:12">
      <c r="A26" s="2" t="s">
        <v>448</v>
      </c>
      <c r="B26" s="2" t="s">
        <v>89</v>
      </c>
      <c r="C26" s="2" t="s">
        <v>93</v>
      </c>
      <c r="D26" s="2" t="s">
        <v>449</v>
      </c>
      <c r="E26" s="2" t="s">
        <v>25</v>
      </c>
      <c r="F26" s="2" t="s">
        <v>148</v>
      </c>
      <c r="G26" s="4">
        <v>46251</v>
      </c>
      <c r="H26" s="4">
        <v>46262</v>
      </c>
      <c r="I26" s="2" t="s">
        <v>166</v>
      </c>
      <c r="J26" s="2" t="s">
        <v>74</v>
      </c>
      <c r="K26" s="2" t="s">
        <v>394</v>
      </c>
      <c r="L26" s="2" t="s">
        <v>450</v>
      </c>
    </row>
    <row r="27" spans="1:12">
      <c r="A27" s="2" t="s">
        <v>451</v>
      </c>
      <c r="B27" s="2" t="s">
        <v>89</v>
      </c>
      <c r="C27" s="2" t="s">
        <v>93</v>
      </c>
      <c r="D27" s="2" t="s">
        <v>452</v>
      </c>
      <c r="E27" s="2" t="s">
        <v>25</v>
      </c>
      <c r="F27" s="2" t="s">
        <v>148</v>
      </c>
      <c r="G27" s="4">
        <v>46251</v>
      </c>
      <c r="H27" s="4">
        <v>46262</v>
      </c>
      <c r="I27" s="2" t="s">
        <v>166</v>
      </c>
      <c r="J27" s="2" t="s">
        <v>74</v>
      </c>
      <c r="K27" s="2" t="s">
        <v>394</v>
      </c>
      <c r="L27" s="2" t="s">
        <v>453</v>
      </c>
    </row>
    <row r="28" spans="1:12">
      <c r="A28" s="2" t="s">
        <v>454</v>
      </c>
      <c r="B28" s="2" t="s">
        <v>89</v>
      </c>
      <c r="C28" s="2" t="s">
        <v>93</v>
      </c>
      <c r="D28" s="2" t="s">
        <v>455</v>
      </c>
      <c r="E28" s="2" t="s">
        <v>25</v>
      </c>
      <c r="F28" s="2" t="s">
        <v>148</v>
      </c>
      <c r="G28" s="4">
        <v>46255</v>
      </c>
      <c r="H28" s="4">
        <v>46262</v>
      </c>
      <c r="I28" s="2" t="s">
        <v>166</v>
      </c>
      <c r="J28" s="2" t="s">
        <v>74</v>
      </c>
      <c r="K28" s="2" t="s">
        <v>429</v>
      </c>
      <c r="L28" s="2" t="s">
        <v>456</v>
      </c>
    </row>
    <row r="29" spans="1:12">
      <c r="A29" s="2" t="s">
        <v>457</v>
      </c>
      <c r="B29" s="2" t="s">
        <v>89</v>
      </c>
      <c r="C29" s="2" t="s">
        <v>93</v>
      </c>
      <c r="D29" s="2" t="s">
        <v>458</v>
      </c>
      <c r="E29" s="2" t="s">
        <v>25</v>
      </c>
      <c r="F29" s="2" t="s">
        <v>74</v>
      </c>
      <c r="G29" s="4">
        <v>46255</v>
      </c>
      <c r="H29" s="4">
        <v>46262</v>
      </c>
      <c r="I29" s="2" t="s">
        <v>166</v>
      </c>
      <c r="J29" s="2" t="s">
        <v>74</v>
      </c>
      <c r="K29" s="2" t="s">
        <v>394</v>
      </c>
      <c r="L29" s="2" t="s">
        <v>459</v>
      </c>
    </row>
    <row r="30" spans="1:12">
      <c r="A30" s="2" t="s">
        <v>460</v>
      </c>
      <c r="B30" s="2" t="s">
        <v>89</v>
      </c>
      <c r="C30" s="2" t="s">
        <v>93</v>
      </c>
      <c r="D30" s="2" t="s">
        <v>461</v>
      </c>
      <c r="E30" s="2" t="s">
        <v>25</v>
      </c>
      <c r="F30" s="2" t="s">
        <v>286</v>
      </c>
      <c r="G30" s="4">
        <v>46255</v>
      </c>
      <c r="H30" s="4">
        <v>46262</v>
      </c>
      <c r="I30" s="2" t="s">
        <v>166</v>
      </c>
      <c r="J30" s="2" t="s">
        <v>74</v>
      </c>
      <c r="K30" s="2" t="s">
        <v>394</v>
      </c>
      <c r="L30" s="2" t="s">
        <v>462</v>
      </c>
    </row>
    <row r="31" spans="1:12">
      <c r="A31" s="2" t="s">
        <v>463</v>
      </c>
      <c r="B31" s="2" t="s">
        <v>89</v>
      </c>
      <c r="C31" s="2" t="s">
        <v>93</v>
      </c>
      <c r="D31" s="2" t="s">
        <v>464</v>
      </c>
      <c r="E31" s="2" t="s">
        <v>25</v>
      </c>
      <c r="F31" s="2" t="s">
        <v>412</v>
      </c>
      <c r="G31" s="4">
        <v>46255</v>
      </c>
      <c r="H31" s="4">
        <v>46262</v>
      </c>
      <c r="I31" s="2" t="s">
        <v>166</v>
      </c>
      <c r="J31" s="2" t="s">
        <v>74</v>
      </c>
      <c r="K31" s="2" t="s">
        <v>394</v>
      </c>
      <c r="L31" s="2" t="s">
        <v>465</v>
      </c>
    </row>
    <row r="32" spans="1:12">
      <c r="A32" s="2" t="s">
        <v>466</v>
      </c>
      <c r="B32" s="2" t="s">
        <v>89</v>
      </c>
      <c r="C32" s="2" t="s">
        <v>93</v>
      </c>
      <c r="D32" s="2" t="s">
        <v>467</v>
      </c>
      <c r="E32" s="2" t="s">
        <v>45</v>
      </c>
      <c r="F32" s="2" t="s">
        <v>424</v>
      </c>
      <c r="G32" s="4">
        <v>46255</v>
      </c>
      <c r="H32" s="4">
        <v>46262</v>
      </c>
      <c r="I32" s="2" t="s">
        <v>166</v>
      </c>
      <c r="J32" s="2" t="s">
        <v>424</v>
      </c>
      <c r="K32" s="2" t="s">
        <v>425</v>
      </c>
      <c r="L32" s="2" t="s">
        <v>468</v>
      </c>
    </row>
    <row r="33" spans="1:12">
      <c r="A33" s="2" t="s">
        <v>469</v>
      </c>
      <c r="B33" s="2" t="s">
        <v>89</v>
      </c>
      <c r="C33" s="2" t="s">
        <v>99</v>
      </c>
      <c r="D33" s="2" t="s">
        <v>470</v>
      </c>
      <c r="E33" s="2" t="s">
        <v>29</v>
      </c>
      <c r="F33" s="2" t="s">
        <v>412</v>
      </c>
      <c r="G33" s="4">
        <v>46258</v>
      </c>
      <c r="H33" s="4">
        <v>46269</v>
      </c>
      <c r="I33" s="2" t="s">
        <v>166</v>
      </c>
      <c r="J33" s="2"/>
      <c r="K33" s="2" t="s">
        <v>394</v>
      </c>
      <c r="L33" s="2" t="s">
        <v>471</v>
      </c>
    </row>
    <row r="34" spans="1:12">
      <c r="A34" s="2" t="s">
        <v>472</v>
      </c>
      <c r="B34" s="2" t="s">
        <v>89</v>
      </c>
      <c r="C34" s="2" t="s">
        <v>99</v>
      </c>
      <c r="D34" s="2" t="s">
        <v>473</v>
      </c>
      <c r="E34" s="2" t="s">
        <v>29</v>
      </c>
      <c r="F34" s="2" t="s">
        <v>244</v>
      </c>
      <c r="G34" s="4">
        <v>46258</v>
      </c>
      <c r="H34" s="4">
        <v>46269</v>
      </c>
      <c r="I34" s="2" t="s">
        <v>166</v>
      </c>
      <c r="J34" s="2" t="s">
        <v>74</v>
      </c>
      <c r="K34" s="2" t="s">
        <v>394</v>
      </c>
      <c r="L34" s="2" t="s">
        <v>474</v>
      </c>
    </row>
    <row r="35" spans="1:12">
      <c r="A35" s="2" t="s">
        <v>475</v>
      </c>
      <c r="B35" s="2" t="s">
        <v>89</v>
      </c>
      <c r="C35" s="2" t="s">
        <v>99</v>
      </c>
      <c r="D35" s="2" t="s">
        <v>476</v>
      </c>
      <c r="E35" s="2" t="s">
        <v>29</v>
      </c>
      <c r="F35" s="2" t="s">
        <v>477</v>
      </c>
      <c r="G35" s="4">
        <v>46258</v>
      </c>
      <c r="H35" s="4">
        <v>46269</v>
      </c>
      <c r="I35" s="2" t="s">
        <v>166</v>
      </c>
      <c r="J35" s="2" t="s">
        <v>74</v>
      </c>
      <c r="K35" s="2" t="s">
        <v>394</v>
      </c>
      <c r="L35" s="2" t="s">
        <v>478</v>
      </c>
    </row>
    <row r="36" spans="1:12">
      <c r="A36" s="2" t="s">
        <v>479</v>
      </c>
      <c r="B36" s="2" t="s">
        <v>89</v>
      </c>
      <c r="C36" s="2" t="s">
        <v>99</v>
      </c>
      <c r="D36" s="2" t="s">
        <v>480</v>
      </c>
      <c r="E36" s="2" t="s">
        <v>29</v>
      </c>
      <c r="F36" s="2" t="s">
        <v>74</v>
      </c>
      <c r="G36" s="4">
        <v>46262</v>
      </c>
      <c r="H36" s="4">
        <v>46269</v>
      </c>
      <c r="I36" s="2" t="s">
        <v>166</v>
      </c>
      <c r="J36" s="2"/>
      <c r="K36" s="2" t="s">
        <v>394</v>
      </c>
      <c r="L36" s="2" t="s">
        <v>481</v>
      </c>
    </row>
    <row r="37" spans="1:12">
      <c r="A37" s="2" t="s">
        <v>482</v>
      </c>
      <c r="B37" s="2" t="s">
        <v>106</v>
      </c>
      <c r="C37" s="2" t="s">
        <v>111</v>
      </c>
      <c r="D37" s="2" t="s">
        <v>483</v>
      </c>
      <c r="E37" s="2" t="s">
        <v>29</v>
      </c>
      <c r="F37" s="2" t="s">
        <v>408</v>
      </c>
      <c r="G37" s="4">
        <v>46269</v>
      </c>
      <c r="H37" s="4">
        <v>46276</v>
      </c>
      <c r="I37" s="2" t="s">
        <v>166</v>
      </c>
      <c r="J37" s="2" t="s">
        <v>74</v>
      </c>
      <c r="K37" s="2" t="s">
        <v>484</v>
      </c>
      <c r="L37" s="2" t="s">
        <v>485</v>
      </c>
    </row>
    <row r="38" spans="1:12">
      <c r="A38" s="2" t="s">
        <v>486</v>
      </c>
      <c r="B38" s="2" t="s">
        <v>106</v>
      </c>
      <c r="C38" s="2" t="s">
        <v>111</v>
      </c>
      <c r="D38" s="2" t="s">
        <v>487</v>
      </c>
      <c r="E38" s="2" t="s">
        <v>29</v>
      </c>
      <c r="F38" s="2" t="s">
        <v>298</v>
      </c>
      <c r="G38" s="4">
        <v>46269</v>
      </c>
      <c r="H38" s="4">
        <v>46276</v>
      </c>
      <c r="I38" s="2" t="s">
        <v>166</v>
      </c>
      <c r="J38" s="2" t="s">
        <v>74</v>
      </c>
      <c r="K38" s="2" t="s">
        <v>484</v>
      </c>
      <c r="L38" s="2" t="s">
        <v>488</v>
      </c>
    </row>
    <row r="39" spans="1:12">
      <c r="A39" s="2" t="s">
        <v>489</v>
      </c>
      <c r="B39" s="2" t="s">
        <v>106</v>
      </c>
      <c r="C39" s="2" t="s">
        <v>111</v>
      </c>
      <c r="D39" s="2" t="s">
        <v>490</v>
      </c>
      <c r="E39" s="2" t="s">
        <v>29</v>
      </c>
      <c r="F39" s="2" t="s">
        <v>74</v>
      </c>
      <c r="G39" s="4">
        <v>46273</v>
      </c>
      <c r="H39" s="4">
        <v>46276</v>
      </c>
      <c r="I39" s="2" t="s">
        <v>166</v>
      </c>
      <c r="J39" s="2" t="s">
        <v>74</v>
      </c>
      <c r="K39" s="2" t="s">
        <v>394</v>
      </c>
      <c r="L39" s="2" t="s">
        <v>491</v>
      </c>
    </row>
    <row r="40" spans="1:12">
      <c r="A40" s="2" t="s">
        <v>492</v>
      </c>
      <c r="B40" s="2" t="s">
        <v>106</v>
      </c>
      <c r="C40" s="2" t="s">
        <v>111</v>
      </c>
      <c r="D40" s="2" t="s">
        <v>493</v>
      </c>
      <c r="E40" s="2" t="s">
        <v>29</v>
      </c>
      <c r="F40" s="2" t="s">
        <v>408</v>
      </c>
      <c r="G40" s="4">
        <v>46273</v>
      </c>
      <c r="H40" s="4">
        <v>46276</v>
      </c>
      <c r="I40" s="2" t="s">
        <v>166</v>
      </c>
      <c r="J40" s="2" t="s">
        <v>74</v>
      </c>
      <c r="K40" s="2" t="s">
        <v>394</v>
      </c>
      <c r="L40" s="2" t="s">
        <v>494</v>
      </c>
    </row>
    <row r="41" spans="1:12" ht="26.4">
      <c r="A41" s="2" t="s">
        <v>495</v>
      </c>
      <c r="B41" s="2" t="s">
        <v>106</v>
      </c>
      <c r="C41" s="2" t="s">
        <v>111</v>
      </c>
      <c r="D41" s="2" t="s">
        <v>496</v>
      </c>
      <c r="E41" s="2" t="s">
        <v>45</v>
      </c>
      <c r="F41" s="2" t="s">
        <v>497</v>
      </c>
      <c r="G41" s="4">
        <v>46273</v>
      </c>
      <c r="H41" s="4">
        <v>46276</v>
      </c>
      <c r="I41" s="2" t="s">
        <v>166</v>
      </c>
      <c r="J41" s="2" t="s">
        <v>497</v>
      </c>
      <c r="K41" s="2" t="s">
        <v>484</v>
      </c>
      <c r="L41" s="2" t="s">
        <v>498</v>
      </c>
    </row>
    <row r="42" spans="1:12">
      <c r="A42" s="2" t="s">
        <v>499</v>
      </c>
      <c r="B42" s="2" t="s">
        <v>106</v>
      </c>
      <c r="C42" s="2" t="s">
        <v>104</v>
      </c>
      <c r="D42" s="2" t="s">
        <v>500</v>
      </c>
      <c r="E42" s="2" t="s">
        <v>47</v>
      </c>
      <c r="F42" s="2" t="s">
        <v>219</v>
      </c>
      <c r="G42" s="4">
        <v>46269</v>
      </c>
      <c r="H42" s="4">
        <v>46283</v>
      </c>
      <c r="I42" s="2" t="s">
        <v>166</v>
      </c>
      <c r="J42" s="2" t="s">
        <v>537</v>
      </c>
      <c r="K42" s="2" t="s">
        <v>447</v>
      </c>
      <c r="L42" s="2" t="s">
        <v>501</v>
      </c>
    </row>
    <row r="43" spans="1:12">
      <c r="A43" s="2" t="s">
        <v>502</v>
      </c>
      <c r="B43" s="2" t="s">
        <v>106</v>
      </c>
      <c r="C43" s="2" t="s">
        <v>104</v>
      </c>
      <c r="D43" s="2" t="s">
        <v>503</v>
      </c>
      <c r="E43" s="2" t="s">
        <v>47</v>
      </c>
      <c r="F43" s="2" t="s">
        <v>504</v>
      </c>
      <c r="G43" s="4">
        <v>46273</v>
      </c>
      <c r="H43" s="4">
        <v>46283</v>
      </c>
      <c r="I43" s="2" t="s">
        <v>166</v>
      </c>
      <c r="J43" s="2" t="s">
        <v>74</v>
      </c>
      <c r="K43" s="2" t="s">
        <v>429</v>
      </c>
      <c r="L43" s="2" t="s">
        <v>505</v>
      </c>
    </row>
    <row r="44" spans="1:12">
      <c r="A44" s="2" t="s">
        <v>506</v>
      </c>
      <c r="B44" s="2" t="s">
        <v>106</v>
      </c>
      <c r="C44" s="2" t="s">
        <v>104</v>
      </c>
      <c r="D44" s="2" t="s">
        <v>507</v>
      </c>
      <c r="E44" s="2" t="s">
        <v>23</v>
      </c>
      <c r="F44" s="2" t="s">
        <v>497</v>
      </c>
      <c r="G44" s="4">
        <v>46273</v>
      </c>
      <c r="H44" s="4">
        <v>46283</v>
      </c>
      <c r="I44" s="2" t="s">
        <v>166</v>
      </c>
      <c r="J44" s="2" t="s">
        <v>74</v>
      </c>
      <c r="K44" s="2" t="s">
        <v>394</v>
      </c>
      <c r="L44" s="2" t="s">
        <v>508</v>
      </c>
    </row>
    <row r="45" spans="1:12">
      <c r="A45" s="2" t="s">
        <v>509</v>
      </c>
      <c r="B45" s="2" t="s">
        <v>106</v>
      </c>
      <c r="C45" s="2" t="s">
        <v>104</v>
      </c>
      <c r="D45" s="2" t="s">
        <v>510</v>
      </c>
      <c r="E45" s="2" t="s">
        <v>47</v>
      </c>
      <c r="F45" s="2" t="s">
        <v>545</v>
      </c>
      <c r="G45" s="4">
        <v>46277</v>
      </c>
      <c r="H45" s="4">
        <v>46283</v>
      </c>
      <c r="I45" s="2" t="s">
        <v>166</v>
      </c>
      <c r="J45" s="2" t="s">
        <v>544</v>
      </c>
      <c r="K45" s="2" t="s">
        <v>511</v>
      </c>
      <c r="L45" s="2" t="s">
        <v>512</v>
      </c>
    </row>
    <row r="46" spans="1:12">
      <c r="A46" s="2" t="s">
        <v>513</v>
      </c>
      <c r="B46" s="2" t="s">
        <v>106</v>
      </c>
      <c r="C46" s="2" t="s">
        <v>104</v>
      </c>
      <c r="D46" s="2" t="s">
        <v>514</v>
      </c>
      <c r="E46" s="2" t="s">
        <v>47</v>
      </c>
      <c r="F46" s="2" t="s">
        <v>504</v>
      </c>
      <c r="G46" s="4">
        <v>46280</v>
      </c>
      <c r="H46" s="4">
        <v>46283</v>
      </c>
      <c r="I46" s="2" t="s">
        <v>166</v>
      </c>
      <c r="J46" s="2" t="s">
        <v>74</v>
      </c>
      <c r="K46" s="2" t="s">
        <v>429</v>
      </c>
      <c r="L46" s="2" t="s">
        <v>515</v>
      </c>
    </row>
  </sheetData>
  <mergeCells count="2">
    <mergeCell ref="A1:L1"/>
    <mergeCell ref="A2:L2"/>
  </mergeCells>
  <dataValidations count="1">
    <dataValidation type="list" sqref="I5:I46" xr:uid="{00000000-0002-0000-0500-000000000000}">
      <formula1>"Not Started,In Progress,Blocked,Done,Deferred"</formula1>
    </dataValidation>
  </dataValidations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0"/>
  <sheetViews>
    <sheetView showGridLines="0" tabSelected="1" topLeftCell="C1" zoomScale="80" zoomScaleNormal="80" workbookViewId="0">
      <pane ySplit="1" topLeftCell="A4" activePane="bottomLeft" state="frozen"/>
      <selection pane="bottomLeft" activeCell="D15" sqref="D15"/>
    </sheetView>
  </sheetViews>
  <sheetFormatPr defaultColWidth="8.69921875" defaultRowHeight="13.8"/>
  <cols>
    <col min="1" max="1" width="7.19921875" style="20" bestFit="1" customWidth="1"/>
    <col min="2" max="2" width="23.5" style="20" customWidth="1"/>
    <col min="3" max="3" width="32.8984375" style="20" bestFit="1" customWidth="1"/>
    <col min="4" max="4" width="41.09765625" style="20" bestFit="1" customWidth="1"/>
    <col min="5" max="5" width="14.5" style="20" bestFit="1" customWidth="1"/>
    <col min="6" max="6" width="17.8984375" style="20" bestFit="1" customWidth="1"/>
    <col min="7" max="8" width="13.5" style="20" bestFit="1" customWidth="1"/>
    <col min="9" max="9" width="18" style="20" bestFit="1" customWidth="1"/>
    <col min="10" max="10" width="10.5" style="20" customWidth="1"/>
    <col min="11" max="11" width="4.796875" style="20" hidden="1" customWidth="1"/>
    <col min="12" max="12" width="12" style="20" bestFit="1" customWidth="1"/>
    <col min="13" max="13" width="21.8984375" style="20" bestFit="1" customWidth="1"/>
    <col min="14" max="14" width="21.69921875" style="20" bestFit="1" customWidth="1"/>
    <col min="15" max="15" width="6.8984375" style="20" hidden="1" customWidth="1"/>
    <col min="16" max="16384" width="8.69921875" style="20"/>
  </cols>
  <sheetData>
    <row r="1" spans="1:15" ht="27.6">
      <c r="A1" s="17" t="s">
        <v>116</v>
      </c>
      <c r="B1" s="18" t="s">
        <v>62</v>
      </c>
      <c r="C1" s="18" t="s">
        <v>61</v>
      </c>
      <c r="D1" s="18" t="s">
        <v>117</v>
      </c>
      <c r="E1" s="18" t="s">
        <v>118</v>
      </c>
      <c r="F1" s="18" t="s">
        <v>119</v>
      </c>
      <c r="G1" s="18" t="s">
        <v>120</v>
      </c>
      <c r="H1" s="18" t="s">
        <v>121</v>
      </c>
      <c r="I1" s="18" t="s">
        <v>122</v>
      </c>
      <c r="J1" s="18" t="s">
        <v>123</v>
      </c>
      <c r="K1" s="18" t="s">
        <v>124</v>
      </c>
      <c r="L1" s="18" t="s">
        <v>125</v>
      </c>
      <c r="M1" s="18" t="s">
        <v>126</v>
      </c>
      <c r="N1" s="18" t="s">
        <v>127</v>
      </c>
      <c r="O1" s="19" t="s">
        <v>128</v>
      </c>
    </row>
    <row r="2" spans="1:15" ht="27.6">
      <c r="A2" s="21" t="s">
        <v>129</v>
      </c>
      <c r="B2" s="22" t="s">
        <v>130</v>
      </c>
      <c r="C2" s="22" t="s">
        <v>131</v>
      </c>
      <c r="D2" s="22" t="s">
        <v>132</v>
      </c>
      <c r="E2" s="22" t="s">
        <v>47</v>
      </c>
      <c r="F2" s="22" t="s">
        <v>133</v>
      </c>
      <c r="G2" s="43">
        <v>46174</v>
      </c>
      <c r="H2" s="43">
        <v>46177</v>
      </c>
      <c r="I2" s="22" t="s">
        <v>134</v>
      </c>
      <c r="J2" s="22" t="s">
        <v>135</v>
      </c>
      <c r="K2" s="22" t="s">
        <v>136</v>
      </c>
      <c r="L2" s="22" t="s">
        <v>137</v>
      </c>
      <c r="M2" s="22" t="s">
        <v>138</v>
      </c>
      <c r="N2" s="22" t="s">
        <v>139</v>
      </c>
      <c r="O2" s="23" t="str">
        <f t="shared" ref="O2:O40" ca="1" si="0">IF(J2="Done","Closed",IF(H2&lt;TODAY(),"Overdue",IF(H2-TODAY()&lt;=7,"Due &lt;=7d","On Track")))</f>
        <v>Overdue</v>
      </c>
    </row>
    <row r="3" spans="1:15" ht="27.6">
      <c r="A3" s="21" t="s">
        <v>140</v>
      </c>
      <c r="B3" s="22" t="s">
        <v>130</v>
      </c>
      <c r="C3" s="22" t="s">
        <v>131</v>
      </c>
      <c r="D3" s="22" t="s">
        <v>141</v>
      </c>
      <c r="E3" s="22" t="s">
        <v>14</v>
      </c>
      <c r="F3" s="22" t="s">
        <v>142</v>
      </c>
      <c r="G3" s="43">
        <v>46176</v>
      </c>
      <c r="H3" s="43">
        <v>46183</v>
      </c>
      <c r="I3" s="22" t="s">
        <v>143</v>
      </c>
      <c r="J3" s="22" t="s">
        <v>135</v>
      </c>
      <c r="K3" s="22" t="s">
        <v>136</v>
      </c>
      <c r="L3" s="22" t="s">
        <v>137</v>
      </c>
      <c r="M3" s="22" t="s">
        <v>144</v>
      </c>
      <c r="N3" s="22" t="s">
        <v>145</v>
      </c>
      <c r="O3" s="23" t="str">
        <f t="shared" ca="1" si="0"/>
        <v>Due &lt;=7d</v>
      </c>
    </row>
    <row r="4" spans="1:15" ht="27.6">
      <c r="A4" s="21" t="s">
        <v>146</v>
      </c>
      <c r="B4" s="22" t="s">
        <v>130</v>
      </c>
      <c r="C4" s="22" t="s">
        <v>131</v>
      </c>
      <c r="D4" s="22" t="s">
        <v>147</v>
      </c>
      <c r="E4" s="22" t="s">
        <v>25</v>
      </c>
      <c r="F4" s="22" t="s">
        <v>148</v>
      </c>
      <c r="G4" s="43">
        <v>46176</v>
      </c>
      <c r="H4" s="43">
        <v>46179</v>
      </c>
      <c r="I4" s="22" t="s">
        <v>149</v>
      </c>
      <c r="J4" s="22" t="s">
        <v>135</v>
      </c>
      <c r="K4" s="22" t="s">
        <v>136</v>
      </c>
      <c r="L4" s="22" t="s">
        <v>137</v>
      </c>
      <c r="M4" s="22" t="s">
        <v>150</v>
      </c>
      <c r="N4" s="22" t="s">
        <v>151</v>
      </c>
      <c r="O4" s="23" t="str">
        <f t="shared" ca="1" si="0"/>
        <v>Overdue</v>
      </c>
    </row>
    <row r="5" spans="1:15" ht="27.6">
      <c r="A5" s="21" t="s">
        <v>152</v>
      </c>
      <c r="B5" s="22" t="s">
        <v>130</v>
      </c>
      <c r="C5" s="22" t="s">
        <v>131</v>
      </c>
      <c r="D5" s="22" t="s">
        <v>153</v>
      </c>
      <c r="E5" s="22" t="s">
        <v>47</v>
      </c>
      <c r="F5" s="22" t="s">
        <v>133</v>
      </c>
      <c r="G5" s="43">
        <v>46177</v>
      </c>
      <c r="H5" s="43">
        <v>46182</v>
      </c>
      <c r="I5" s="22" t="s">
        <v>154</v>
      </c>
      <c r="J5" s="22" t="s">
        <v>135</v>
      </c>
      <c r="K5" s="22" t="s">
        <v>155</v>
      </c>
      <c r="L5" s="22" t="s">
        <v>137</v>
      </c>
      <c r="M5" s="22" t="s">
        <v>156</v>
      </c>
      <c r="N5" s="22" t="s">
        <v>157</v>
      </c>
      <c r="O5" s="23" t="str">
        <f t="shared" ca="1" si="0"/>
        <v>Due &lt;=7d</v>
      </c>
    </row>
    <row r="6" spans="1:15" ht="27.6">
      <c r="A6" s="21" t="s">
        <v>158</v>
      </c>
      <c r="B6" s="22" t="s">
        <v>130</v>
      </c>
      <c r="C6" s="22" t="s">
        <v>131</v>
      </c>
      <c r="D6" s="22" t="s">
        <v>159</v>
      </c>
      <c r="E6" s="22" t="s">
        <v>48</v>
      </c>
      <c r="F6" s="22" t="s">
        <v>148</v>
      </c>
      <c r="G6" s="43">
        <v>46177</v>
      </c>
      <c r="H6" s="43">
        <v>46182</v>
      </c>
      <c r="I6" s="22" t="s">
        <v>160</v>
      </c>
      <c r="J6" s="22" t="s">
        <v>135</v>
      </c>
      <c r="K6" s="22" t="s">
        <v>136</v>
      </c>
      <c r="L6" s="22" t="s">
        <v>137</v>
      </c>
      <c r="M6" s="22" t="s">
        <v>161</v>
      </c>
      <c r="N6" s="22" t="s">
        <v>162</v>
      </c>
      <c r="O6" s="23" t="str">
        <f t="shared" ca="1" si="0"/>
        <v>Due &lt;=7d</v>
      </c>
    </row>
    <row r="7" spans="1:15" ht="27.6">
      <c r="A7" s="21" t="s">
        <v>163</v>
      </c>
      <c r="B7" s="22" t="s">
        <v>130</v>
      </c>
      <c r="C7" s="22" t="s">
        <v>131</v>
      </c>
      <c r="D7" s="22" t="s">
        <v>164</v>
      </c>
      <c r="E7" s="22" t="s">
        <v>47</v>
      </c>
      <c r="F7" s="22" t="s">
        <v>133</v>
      </c>
      <c r="G7" s="43">
        <v>46178</v>
      </c>
      <c r="H7" s="43">
        <v>46183</v>
      </c>
      <c r="I7" s="22" t="s">
        <v>165</v>
      </c>
      <c r="J7" s="22" t="s">
        <v>166</v>
      </c>
      <c r="K7" s="22" t="s">
        <v>136</v>
      </c>
      <c r="L7" s="22" t="s">
        <v>137</v>
      </c>
      <c r="M7" s="22" t="s">
        <v>167</v>
      </c>
      <c r="N7" s="22" t="s">
        <v>168</v>
      </c>
      <c r="O7" s="23" t="str">
        <f t="shared" ca="1" si="0"/>
        <v>Due &lt;=7d</v>
      </c>
    </row>
    <row r="8" spans="1:15" ht="27.6">
      <c r="A8" s="21" t="s">
        <v>169</v>
      </c>
      <c r="B8" s="22" t="s">
        <v>130</v>
      </c>
      <c r="C8" s="22" t="s">
        <v>131</v>
      </c>
      <c r="D8" s="22" t="s">
        <v>170</v>
      </c>
      <c r="E8" s="22" t="s">
        <v>25</v>
      </c>
      <c r="F8" s="22" t="s">
        <v>148</v>
      </c>
      <c r="G8" s="43">
        <v>46178</v>
      </c>
      <c r="H8" s="43">
        <v>46184</v>
      </c>
      <c r="I8" s="22" t="s">
        <v>171</v>
      </c>
      <c r="J8" s="22" t="s">
        <v>166</v>
      </c>
      <c r="K8" s="22" t="s">
        <v>136</v>
      </c>
      <c r="L8" s="22" t="s">
        <v>172</v>
      </c>
      <c r="M8" s="22" t="s">
        <v>173</v>
      </c>
      <c r="N8" s="22" t="s">
        <v>174</v>
      </c>
      <c r="O8" s="23" t="str">
        <f t="shared" ca="1" si="0"/>
        <v>Due &lt;=7d</v>
      </c>
    </row>
    <row r="9" spans="1:15" ht="27.6">
      <c r="A9" s="21" t="s">
        <v>175</v>
      </c>
      <c r="B9" s="22" t="s">
        <v>130</v>
      </c>
      <c r="C9" s="22" t="s">
        <v>131</v>
      </c>
      <c r="D9" s="22" t="s">
        <v>176</v>
      </c>
      <c r="E9" s="22" t="s">
        <v>47</v>
      </c>
      <c r="F9" s="22" t="s">
        <v>177</v>
      </c>
      <c r="G9" s="43">
        <v>46176</v>
      </c>
      <c r="H9" s="43">
        <v>46179</v>
      </c>
      <c r="I9" s="22" t="s">
        <v>178</v>
      </c>
      <c r="J9" s="22" t="s">
        <v>135</v>
      </c>
      <c r="K9" s="22" t="s">
        <v>136</v>
      </c>
      <c r="L9" s="22" t="s">
        <v>137</v>
      </c>
      <c r="M9" s="22" t="s">
        <v>179</v>
      </c>
      <c r="N9" s="22" t="s">
        <v>180</v>
      </c>
      <c r="O9" s="23" t="str">
        <f t="shared" ca="1" si="0"/>
        <v>Overdue</v>
      </c>
    </row>
    <row r="10" spans="1:15" ht="27.6">
      <c r="A10" s="21" t="s">
        <v>181</v>
      </c>
      <c r="B10" s="22" t="s">
        <v>182</v>
      </c>
      <c r="C10" s="22" t="s">
        <v>183</v>
      </c>
      <c r="D10" s="22" t="s">
        <v>184</v>
      </c>
      <c r="E10" s="22" t="s">
        <v>23</v>
      </c>
      <c r="F10" s="22" t="s">
        <v>185</v>
      </c>
      <c r="G10" s="43">
        <v>46188</v>
      </c>
      <c r="H10" s="43">
        <v>46190</v>
      </c>
      <c r="I10" s="22" t="s">
        <v>186</v>
      </c>
      <c r="J10" s="22" t="s">
        <v>166</v>
      </c>
      <c r="K10" s="22" t="s">
        <v>136</v>
      </c>
      <c r="L10" s="22" t="s">
        <v>137</v>
      </c>
      <c r="M10" s="22" t="s">
        <v>187</v>
      </c>
      <c r="N10" s="22" t="s">
        <v>188</v>
      </c>
      <c r="O10" s="23" t="str">
        <f t="shared" ca="1" si="0"/>
        <v>On Track</v>
      </c>
    </row>
    <row r="11" spans="1:15" ht="41.4">
      <c r="A11" s="21" t="s">
        <v>189</v>
      </c>
      <c r="B11" s="22" t="s">
        <v>182</v>
      </c>
      <c r="C11" s="22" t="s">
        <v>183</v>
      </c>
      <c r="D11" s="22" t="s">
        <v>190</v>
      </c>
      <c r="E11" s="22" t="s">
        <v>14</v>
      </c>
      <c r="F11" s="22" t="s">
        <v>191</v>
      </c>
      <c r="G11" s="43">
        <v>46189</v>
      </c>
      <c r="H11" s="43">
        <v>46199</v>
      </c>
      <c r="I11" s="22" t="s">
        <v>192</v>
      </c>
      <c r="J11" s="22" t="s">
        <v>166</v>
      </c>
      <c r="K11" s="22" t="s">
        <v>136</v>
      </c>
      <c r="L11" s="22" t="s">
        <v>137</v>
      </c>
      <c r="M11" s="22" t="s">
        <v>193</v>
      </c>
      <c r="N11" s="22" t="s">
        <v>194</v>
      </c>
      <c r="O11" s="23" t="str">
        <f t="shared" ca="1" si="0"/>
        <v>On Track</v>
      </c>
    </row>
    <row r="12" spans="1:15" ht="27.6">
      <c r="A12" s="21" t="s">
        <v>195</v>
      </c>
      <c r="B12" s="22" t="s">
        <v>182</v>
      </c>
      <c r="C12" s="22" t="s">
        <v>183</v>
      </c>
      <c r="D12" s="22" t="s">
        <v>196</v>
      </c>
      <c r="E12" s="22" t="s">
        <v>23</v>
      </c>
      <c r="F12" s="22" t="s">
        <v>133</v>
      </c>
      <c r="G12" s="43">
        <v>46190</v>
      </c>
      <c r="H12" s="43">
        <v>46206</v>
      </c>
      <c r="I12" s="22" t="s">
        <v>197</v>
      </c>
      <c r="J12" s="22" t="s">
        <v>166</v>
      </c>
      <c r="K12" s="22" t="s">
        <v>136</v>
      </c>
      <c r="L12" s="22" t="s">
        <v>137</v>
      </c>
      <c r="M12" s="22" t="s">
        <v>198</v>
      </c>
      <c r="N12" s="22" t="s">
        <v>199</v>
      </c>
      <c r="O12" s="23" t="str">
        <f t="shared" ca="1" si="0"/>
        <v>On Track</v>
      </c>
    </row>
    <row r="13" spans="1:15" ht="27.6">
      <c r="A13" s="21" t="s">
        <v>200</v>
      </c>
      <c r="B13" s="22" t="s">
        <v>182</v>
      </c>
      <c r="C13" s="22" t="s">
        <v>201</v>
      </c>
      <c r="D13" s="22" t="s">
        <v>202</v>
      </c>
      <c r="E13" s="22" t="s">
        <v>48</v>
      </c>
      <c r="F13" s="22" t="s">
        <v>203</v>
      </c>
      <c r="G13" s="43">
        <v>46190</v>
      </c>
      <c r="H13" s="43">
        <v>46204</v>
      </c>
      <c r="I13" s="22" t="s">
        <v>204</v>
      </c>
      <c r="J13" s="22" t="s">
        <v>166</v>
      </c>
      <c r="K13" s="22" t="s">
        <v>155</v>
      </c>
      <c r="L13" s="22" t="s">
        <v>137</v>
      </c>
      <c r="M13" s="22" t="s">
        <v>205</v>
      </c>
      <c r="N13" s="22" t="s">
        <v>206</v>
      </c>
      <c r="O13" s="23" t="str">
        <f t="shared" ca="1" si="0"/>
        <v>On Track</v>
      </c>
    </row>
    <row r="14" spans="1:15" ht="27.6">
      <c r="A14" s="21" t="s">
        <v>207</v>
      </c>
      <c r="B14" s="22" t="s">
        <v>182</v>
      </c>
      <c r="C14" s="22" t="s">
        <v>201</v>
      </c>
      <c r="D14" s="22" t="s">
        <v>208</v>
      </c>
      <c r="E14" s="22" t="s">
        <v>29</v>
      </c>
      <c r="F14" s="22" t="s">
        <v>209</v>
      </c>
      <c r="G14" s="43">
        <v>46190</v>
      </c>
      <c r="H14" s="43">
        <v>46204</v>
      </c>
      <c r="I14" s="22" t="s">
        <v>204</v>
      </c>
      <c r="J14" s="22" t="s">
        <v>166</v>
      </c>
      <c r="K14" s="22" t="s">
        <v>155</v>
      </c>
      <c r="L14" s="22" t="s">
        <v>137</v>
      </c>
      <c r="M14" s="22" t="s">
        <v>210</v>
      </c>
      <c r="N14" s="22" t="s">
        <v>211</v>
      </c>
      <c r="O14" s="23" t="str">
        <f t="shared" ca="1" si="0"/>
        <v>On Track</v>
      </c>
    </row>
    <row r="15" spans="1:15" ht="41.4">
      <c r="A15" s="21" t="s">
        <v>212</v>
      </c>
      <c r="B15" s="22" t="s">
        <v>182</v>
      </c>
      <c r="C15" s="22" t="s">
        <v>201</v>
      </c>
      <c r="D15" s="22" t="s">
        <v>213</v>
      </c>
      <c r="E15" s="22" t="s">
        <v>29</v>
      </c>
      <c r="F15" s="22" t="s">
        <v>177</v>
      </c>
      <c r="G15" s="43">
        <v>46192</v>
      </c>
      <c r="H15" s="43">
        <v>46207</v>
      </c>
      <c r="I15" s="22" t="s">
        <v>214</v>
      </c>
      <c r="J15" s="22" t="s">
        <v>166</v>
      </c>
      <c r="K15" s="22" t="s">
        <v>136</v>
      </c>
      <c r="L15" s="22" t="s">
        <v>137</v>
      </c>
      <c r="M15" s="22" t="s">
        <v>215</v>
      </c>
      <c r="N15" s="22" t="s">
        <v>216</v>
      </c>
      <c r="O15" s="23" t="str">
        <f t="shared" ca="1" si="0"/>
        <v>On Track</v>
      </c>
    </row>
    <row r="16" spans="1:15" ht="27.6">
      <c r="A16" s="21" t="s">
        <v>217</v>
      </c>
      <c r="B16" s="22" t="s">
        <v>182</v>
      </c>
      <c r="C16" s="22" t="s">
        <v>183</v>
      </c>
      <c r="D16" s="22" t="s">
        <v>218</v>
      </c>
      <c r="E16" s="22" t="s">
        <v>23</v>
      </c>
      <c r="F16" s="22" t="s">
        <v>219</v>
      </c>
      <c r="G16" s="43">
        <v>46196</v>
      </c>
      <c r="H16" s="43">
        <v>46213</v>
      </c>
      <c r="I16" s="22" t="s">
        <v>220</v>
      </c>
      <c r="J16" s="22" t="s">
        <v>166</v>
      </c>
      <c r="K16" s="22" t="s">
        <v>136</v>
      </c>
      <c r="L16" s="22" t="s">
        <v>137</v>
      </c>
      <c r="M16" s="22" t="s">
        <v>221</v>
      </c>
      <c r="N16" s="22" t="s">
        <v>222</v>
      </c>
      <c r="O16" s="23" t="str">
        <f t="shared" ca="1" si="0"/>
        <v>On Track</v>
      </c>
    </row>
    <row r="17" spans="1:15" ht="27.6">
      <c r="A17" s="21" t="s">
        <v>223</v>
      </c>
      <c r="B17" s="22" t="s">
        <v>182</v>
      </c>
      <c r="C17" s="22" t="s">
        <v>201</v>
      </c>
      <c r="D17" s="22" t="s">
        <v>224</v>
      </c>
      <c r="E17" s="22" t="s">
        <v>48</v>
      </c>
      <c r="F17" s="22" t="s">
        <v>203</v>
      </c>
      <c r="G17" s="43">
        <v>46197</v>
      </c>
      <c r="H17" s="43">
        <v>46211</v>
      </c>
      <c r="I17" s="22" t="s">
        <v>225</v>
      </c>
      <c r="J17" s="22" t="s">
        <v>166</v>
      </c>
      <c r="K17" s="22" t="s">
        <v>155</v>
      </c>
      <c r="L17" s="22" t="s">
        <v>137</v>
      </c>
      <c r="M17" s="22" t="s">
        <v>226</v>
      </c>
      <c r="N17" s="22" t="s">
        <v>227</v>
      </c>
      <c r="O17" s="23" t="str">
        <f t="shared" ca="1" si="0"/>
        <v>On Track</v>
      </c>
    </row>
    <row r="18" spans="1:15" ht="27.6">
      <c r="A18" s="21" t="s">
        <v>228</v>
      </c>
      <c r="B18" s="22" t="s">
        <v>182</v>
      </c>
      <c r="C18" s="22" t="s">
        <v>201</v>
      </c>
      <c r="D18" s="22" t="s">
        <v>229</v>
      </c>
      <c r="E18" s="22" t="s">
        <v>29</v>
      </c>
      <c r="F18" s="22" t="s">
        <v>230</v>
      </c>
      <c r="G18" s="43">
        <v>46197</v>
      </c>
      <c r="H18" s="43">
        <v>46211</v>
      </c>
      <c r="I18" s="22" t="s">
        <v>231</v>
      </c>
      <c r="J18" s="22" t="s">
        <v>166</v>
      </c>
      <c r="K18" s="22" t="s">
        <v>155</v>
      </c>
      <c r="L18" s="22" t="s">
        <v>137</v>
      </c>
      <c r="M18" s="22" t="s">
        <v>232</v>
      </c>
      <c r="N18" s="22" t="s">
        <v>233</v>
      </c>
      <c r="O18" s="23" t="str">
        <f t="shared" ca="1" si="0"/>
        <v>On Track</v>
      </c>
    </row>
    <row r="19" spans="1:15" ht="27.6">
      <c r="A19" s="21" t="s">
        <v>234</v>
      </c>
      <c r="B19" s="22" t="s">
        <v>182</v>
      </c>
      <c r="C19" s="22" t="s">
        <v>235</v>
      </c>
      <c r="D19" s="22" t="s">
        <v>236</v>
      </c>
      <c r="E19" s="22" t="s">
        <v>25</v>
      </c>
      <c r="F19" s="22" t="s">
        <v>237</v>
      </c>
      <c r="G19" s="43">
        <v>46197</v>
      </c>
      <c r="H19" s="43">
        <v>46213</v>
      </c>
      <c r="I19" s="22" t="s">
        <v>238</v>
      </c>
      <c r="J19" s="22" t="s">
        <v>166</v>
      </c>
      <c r="K19" s="22" t="s">
        <v>136</v>
      </c>
      <c r="L19" s="22" t="s">
        <v>137</v>
      </c>
      <c r="M19" s="22" t="s">
        <v>239</v>
      </c>
      <c r="N19" s="22" t="s">
        <v>240</v>
      </c>
      <c r="O19" s="23" t="str">
        <f t="shared" ca="1" si="0"/>
        <v>On Track</v>
      </c>
    </row>
    <row r="20" spans="1:15" ht="27.6">
      <c r="A20" s="21" t="s">
        <v>241</v>
      </c>
      <c r="B20" s="22" t="s">
        <v>182</v>
      </c>
      <c r="C20" s="22" t="s">
        <v>242</v>
      </c>
      <c r="D20" s="22" t="s">
        <v>243</v>
      </c>
      <c r="E20" s="22" t="s">
        <v>29</v>
      </c>
      <c r="F20" s="22" t="s">
        <v>244</v>
      </c>
      <c r="G20" s="43">
        <v>46204</v>
      </c>
      <c r="H20" s="43">
        <v>46218</v>
      </c>
      <c r="I20" s="22" t="s">
        <v>245</v>
      </c>
      <c r="J20" s="22" t="s">
        <v>166</v>
      </c>
      <c r="K20" s="22" t="s">
        <v>155</v>
      </c>
      <c r="L20" s="22" t="s">
        <v>137</v>
      </c>
      <c r="M20" s="22" t="s">
        <v>246</v>
      </c>
      <c r="N20" s="22" t="s">
        <v>247</v>
      </c>
      <c r="O20" s="23" t="str">
        <f t="shared" ca="1" si="0"/>
        <v>On Track</v>
      </c>
    </row>
    <row r="21" spans="1:15" ht="27.6">
      <c r="A21" s="21" t="s">
        <v>248</v>
      </c>
      <c r="B21" s="22" t="s">
        <v>182</v>
      </c>
      <c r="C21" s="22" t="s">
        <v>183</v>
      </c>
      <c r="D21" s="22" t="s">
        <v>249</v>
      </c>
      <c r="E21" s="22" t="s">
        <v>14</v>
      </c>
      <c r="F21" s="22" t="s">
        <v>250</v>
      </c>
      <c r="G21" s="43">
        <v>46211</v>
      </c>
      <c r="H21" s="43">
        <v>46220</v>
      </c>
      <c r="I21" s="22" t="s">
        <v>251</v>
      </c>
      <c r="J21" s="22" t="s">
        <v>166</v>
      </c>
      <c r="K21" s="22" t="s">
        <v>136</v>
      </c>
      <c r="L21" s="22" t="s">
        <v>137</v>
      </c>
      <c r="M21" s="22" t="s">
        <v>252</v>
      </c>
      <c r="N21" s="22" t="s">
        <v>253</v>
      </c>
      <c r="O21" s="23" t="str">
        <f t="shared" ca="1" si="0"/>
        <v>On Track</v>
      </c>
    </row>
    <row r="22" spans="1:15" ht="27.6">
      <c r="A22" s="21" t="s">
        <v>254</v>
      </c>
      <c r="B22" s="22" t="s">
        <v>182</v>
      </c>
      <c r="C22" s="22" t="s">
        <v>183</v>
      </c>
      <c r="D22" s="22" t="s">
        <v>255</v>
      </c>
      <c r="E22" s="22" t="s">
        <v>14</v>
      </c>
      <c r="F22" s="22" t="s">
        <v>256</v>
      </c>
      <c r="G22" s="43">
        <v>46224</v>
      </c>
      <c r="H22" s="43">
        <v>46226</v>
      </c>
      <c r="I22" s="22" t="s">
        <v>257</v>
      </c>
      <c r="J22" s="22" t="s">
        <v>166</v>
      </c>
      <c r="K22" s="22" t="s">
        <v>136</v>
      </c>
      <c r="L22" s="22" t="s">
        <v>137</v>
      </c>
      <c r="M22" s="22" t="s">
        <v>258</v>
      </c>
      <c r="N22" s="22" t="s">
        <v>259</v>
      </c>
      <c r="O22" s="23" t="str">
        <f t="shared" ca="1" si="0"/>
        <v>On Track</v>
      </c>
    </row>
    <row r="23" spans="1:15" ht="27.6">
      <c r="A23" s="21" t="s">
        <v>260</v>
      </c>
      <c r="B23" s="22" t="s">
        <v>182</v>
      </c>
      <c r="C23" s="22" t="s">
        <v>183</v>
      </c>
      <c r="D23" s="22" t="s">
        <v>261</v>
      </c>
      <c r="E23" s="22" t="s">
        <v>23</v>
      </c>
      <c r="F23" s="22" t="s">
        <v>185</v>
      </c>
      <c r="G23" s="43">
        <v>46225</v>
      </c>
      <c r="H23" s="43">
        <v>46227</v>
      </c>
      <c r="I23" s="22" t="s">
        <v>262</v>
      </c>
      <c r="J23" s="22" t="s">
        <v>166</v>
      </c>
      <c r="K23" s="22" t="s">
        <v>136</v>
      </c>
      <c r="L23" s="22" t="s">
        <v>137</v>
      </c>
      <c r="M23" s="22" t="s">
        <v>263</v>
      </c>
      <c r="N23" s="22" t="s">
        <v>264</v>
      </c>
      <c r="O23" s="23" t="str">
        <f t="shared" ca="1" si="0"/>
        <v>On Track</v>
      </c>
    </row>
    <row r="24" spans="1:15" ht="27.6">
      <c r="A24" s="21" t="s">
        <v>265</v>
      </c>
      <c r="B24" s="22" t="s">
        <v>266</v>
      </c>
      <c r="C24" s="22" t="s">
        <v>267</v>
      </c>
      <c r="D24" s="22" t="s">
        <v>268</v>
      </c>
      <c r="E24" s="22" t="s">
        <v>38</v>
      </c>
      <c r="F24" s="22" t="s">
        <v>269</v>
      </c>
      <c r="G24" s="43">
        <v>46230</v>
      </c>
      <c r="H24" s="43">
        <v>46239</v>
      </c>
      <c r="I24" s="22" t="s">
        <v>270</v>
      </c>
      <c r="J24" s="22" t="s">
        <v>166</v>
      </c>
      <c r="K24" s="22" t="s">
        <v>136</v>
      </c>
      <c r="L24" s="22" t="s">
        <v>137</v>
      </c>
      <c r="M24" s="22" t="s">
        <v>271</v>
      </c>
      <c r="N24" s="22" t="s">
        <v>272</v>
      </c>
      <c r="O24" s="23" t="str">
        <f t="shared" ca="1" si="0"/>
        <v>On Track</v>
      </c>
    </row>
    <row r="25" spans="1:15" ht="27.6">
      <c r="A25" s="21" t="s">
        <v>273</v>
      </c>
      <c r="B25" s="22" t="s">
        <v>266</v>
      </c>
      <c r="C25" s="22" t="s">
        <v>267</v>
      </c>
      <c r="D25" s="22" t="s">
        <v>274</v>
      </c>
      <c r="E25" s="22" t="s">
        <v>38</v>
      </c>
      <c r="F25" s="22" t="s">
        <v>275</v>
      </c>
      <c r="G25" s="43">
        <v>46238</v>
      </c>
      <c r="H25" s="43">
        <v>46240</v>
      </c>
      <c r="I25" s="22" t="s">
        <v>276</v>
      </c>
      <c r="J25" s="22" t="s">
        <v>166</v>
      </c>
      <c r="K25" s="22" t="s">
        <v>136</v>
      </c>
      <c r="L25" s="22" t="s">
        <v>137</v>
      </c>
      <c r="M25" s="22" t="s">
        <v>277</v>
      </c>
      <c r="N25" s="22" t="s">
        <v>278</v>
      </c>
      <c r="O25" s="23" t="str">
        <f t="shared" ca="1" si="0"/>
        <v>On Track</v>
      </c>
    </row>
    <row r="26" spans="1:15" ht="41.4">
      <c r="A26" s="21" t="s">
        <v>279</v>
      </c>
      <c r="B26" s="22" t="s">
        <v>266</v>
      </c>
      <c r="C26" s="22" t="s">
        <v>235</v>
      </c>
      <c r="D26" s="22" t="s">
        <v>280</v>
      </c>
      <c r="E26" s="22" t="s">
        <v>25</v>
      </c>
      <c r="F26" s="22" t="s">
        <v>148</v>
      </c>
      <c r="G26" s="43">
        <v>46237</v>
      </c>
      <c r="H26" s="43">
        <v>46246</v>
      </c>
      <c r="I26" s="22" t="s">
        <v>281</v>
      </c>
      <c r="J26" s="22" t="s">
        <v>166</v>
      </c>
      <c r="K26" s="22" t="s">
        <v>136</v>
      </c>
      <c r="L26" s="22" t="s">
        <v>137</v>
      </c>
      <c r="M26" s="22" t="s">
        <v>282</v>
      </c>
      <c r="N26" s="22" t="s">
        <v>283</v>
      </c>
      <c r="O26" s="23" t="str">
        <f t="shared" ca="1" si="0"/>
        <v>On Track</v>
      </c>
    </row>
    <row r="27" spans="1:15" ht="27.6">
      <c r="A27" s="21" t="s">
        <v>284</v>
      </c>
      <c r="B27" s="22" t="s">
        <v>266</v>
      </c>
      <c r="C27" s="22" t="s">
        <v>235</v>
      </c>
      <c r="D27" s="22" t="s">
        <v>285</v>
      </c>
      <c r="E27" s="22" t="s">
        <v>25</v>
      </c>
      <c r="F27" s="22" t="s">
        <v>286</v>
      </c>
      <c r="G27" s="43">
        <v>46240</v>
      </c>
      <c r="H27" s="43">
        <v>46251</v>
      </c>
      <c r="I27" s="22" t="s">
        <v>287</v>
      </c>
      <c r="J27" s="22" t="s">
        <v>166</v>
      </c>
      <c r="K27" s="22" t="s">
        <v>136</v>
      </c>
      <c r="L27" s="22" t="s">
        <v>137</v>
      </c>
      <c r="M27" s="22" t="s">
        <v>288</v>
      </c>
      <c r="N27" s="22" t="s">
        <v>289</v>
      </c>
      <c r="O27" s="23" t="str">
        <f t="shared" ca="1" si="0"/>
        <v>On Track</v>
      </c>
    </row>
    <row r="28" spans="1:15" ht="27.6">
      <c r="A28" s="21" t="s">
        <v>290</v>
      </c>
      <c r="B28" s="22" t="s">
        <v>266</v>
      </c>
      <c r="C28" s="22" t="s">
        <v>242</v>
      </c>
      <c r="D28" s="22" t="s">
        <v>291</v>
      </c>
      <c r="E28" s="22" t="s">
        <v>29</v>
      </c>
      <c r="F28" s="22" t="s">
        <v>244</v>
      </c>
      <c r="G28" s="43">
        <v>46237</v>
      </c>
      <c r="H28" s="43">
        <v>46254</v>
      </c>
      <c r="I28" s="22" t="s">
        <v>292</v>
      </c>
      <c r="J28" s="22" t="s">
        <v>166</v>
      </c>
      <c r="K28" s="22" t="s">
        <v>155</v>
      </c>
      <c r="L28" s="22" t="s">
        <v>137</v>
      </c>
      <c r="M28" s="22" t="s">
        <v>293</v>
      </c>
      <c r="N28" s="22" t="s">
        <v>294</v>
      </c>
      <c r="O28" s="23" t="str">
        <f t="shared" ca="1" si="0"/>
        <v>On Track</v>
      </c>
    </row>
    <row r="29" spans="1:15" ht="27.6">
      <c r="A29" s="21" t="s">
        <v>295</v>
      </c>
      <c r="B29" s="22" t="s">
        <v>266</v>
      </c>
      <c r="C29" s="22" t="s">
        <v>296</v>
      </c>
      <c r="D29" s="22" t="s">
        <v>297</v>
      </c>
      <c r="E29" s="22" t="s">
        <v>29</v>
      </c>
      <c r="F29" s="22" t="s">
        <v>298</v>
      </c>
      <c r="G29" s="43">
        <v>46244</v>
      </c>
      <c r="H29" s="43">
        <v>46258</v>
      </c>
      <c r="I29" s="22" t="s">
        <v>299</v>
      </c>
      <c r="J29" s="22" t="s">
        <v>166</v>
      </c>
      <c r="K29" s="22" t="s">
        <v>136</v>
      </c>
      <c r="L29" s="22" t="s">
        <v>172</v>
      </c>
      <c r="M29" s="22" t="s">
        <v>300</v>
      </c>
      <c r="N29" s="22" t="s">
        <v>301</v>
      </c>
      <c r="O29" s="23" t="str">
        <f t="shared" ca="1" si="0"/>
        <v>On Track</v>
      </c>
    </row>
    <row r="30" spans="1:15" ht="27.6">
      <c r="A30" s="21" t="s">
        <v>302</v>
      </c>
      <c r="B30" s="22" t="s">
        <v>266</v>
      </c>
      <c r="C30" s="22" t="s">
        <v>267</v>
      </c>
      <c r="D30" s="22" t="s">
        <v>303</v>
      </c>
      <c r="E30" s="22" t="s">
        <v>38</v>
      </c>
      <c r="F30" s="22" t="s">
        <v>304</v>
      </c>
      <c r="G30" s="43">
        <v>46244</v>
      </c>
      <c r="H30" s="43">
        <v>46255</v>
      </c>
      <c r="I30" s="22" t="s">
        <v>305</v>
      </c>
      <c r="J30" s="22" t="s">
        <v>166</v>
      </c>
      <c r="K30" s="22" t="s">
        <v>136</v>
      </c>
      <c r="L30" s="22" t="s">
        <v>137</v>
      </c>
      <c r="M30" s="22" t="s">
        <v>306</v>
      </c>
      <c r="N30" s="22" t="s">
        <v>307</v>
      </c>
      <c r="O30" s="23" t="str">
        <f t="shared" ca="1" si="0"/>
        <v>On Track</v>
      </c>
    </row>
    <row r="31" spans="1:15" ht="27.6">
      <c r="A31" s="21" t="s">
        <v>308</v>
      </c>
      <c r="B31" s="22" t="s">
        <v>266</v>
      </c>
      <c r="C31" s="22" t="s">
        <v>267</v>
      </c>
      <c r="D31" s="22" t="s">
        <v>309</v>
      </c>
      <c r="E31" s="22" t="s">
        <v>14</v>
      </c>
      <c r="F31" s="22" t="s">
        <v>310</v>
      </c>
      <c r="G31" s="43">
        <v>46251</v>
      </c>
      <c r="H31" s="43">
        <v>46262</v>
      </c>
      <c r="I31" s="22" t="s">
        <v>311</v>
      </c>
      <c r="J31" s="22" t="s">
        <v>166</v>
      </c>
      <c r="K31" s="22" t="s">
        <v>136</v>
      </c>
      <c r="L31" s="22" t="s">
        <v>137</v>
      </c>
      <c r="M31" s="22" t="s">
        <v>312</v>
      </c>
      <c r="N31" s="22" t="s">
        <v>313</v>
      </c>
      <c r="O31" s="23" t="str">
        <f t="shared" ca="1" si="0"/>
        <v>On Track</v>
      </c>
    </row>
    <row r="32" spans="1:15" ht="27.6">
      <c r="A32" s="21" t="s">
        <v>314</v>
      </c>
      <c r="B32" s="22" t="s">
        <v>266</v>
      </c>
      <c r="C32" s="22" t="s">
        <v>235</v>
      </c>
      <c r="D32" s="22" t="s">
        <v>315</v>
      </c>
      <c r="E32" s="22" t="s">
        <v>25</v>
      </c>
      <c r="F32" s="22" t="s">
        <v>316</v>
      </c>
      <c r="G32" s="43">
        <v>46252</v>
      </c>
      <c r="H32" s="43">
        <v>46254</v>
      </c>
      <c r="I32" s="22" t="s">
        <v>257</v>
      </c>
      <c r="J32" s="22" t="s">
        <v>166</v>
      </c>
      <c r="K32" s="22" t="s">
        <v>136</v>
      </c>
      <c r="L32" s="22" t="s">
        <v>137</v>
      </c>
      <c r="M32" s="22" t="s">
        <v>317</v>
      </c>
      <c r="N32" s="22" t="s">
        <v>318</v>
      </c>
      <c r="O32" s="23" t="str">
        <f t="shared" ca="1" si="0"/>
        <v>On Track</v>
      </c>
    </row>
    <row r="33" spans="1:15" ht="27.6">
      <c r="A33" s="21" t="s">
        <v>319</v>
      </c>
      <c r="B33" s="22" t="s">
        <v>266</v>
      </c>
      <c r="C33" s="22" t="s">
        <v>267</v>
      </c>
      <c r="D33" s="22" t="s">
        <v>320</v>
      </c>
      <c r="E33" s="22" t="s">
        <v>14</v>
      </c>
      <c r="F33" s="22" t="s">
        <v>310</v>
      </c>
      <c r="G33" s="43">
        <v>46259</v>
      </c>
      <c r="H33" s="43">
        <v>46261</v>
      </c>
      <c r="I33" s="22" t="s">
        <v>257</v>
      </c>
      <c r="J33" s="22" t="s">
        <v>166</v>
      </c>
      <c r="K33" s="22" t="s">
        <v>136</v>
      </c>
      <c r="L33" s="22" t="s">
        <v>137</v>
      </c>
      <c r="M33" s="22" t="s">
        <v>321</v>
      </c>
      <c r="N33" s="22" t="s">
        <v>322</v>
      </c>
      <c r="O33" s="23" t="str">
        <f t="shared" ca="1" si="0"/>
        <v>On Track</v>
      </c>
    </row>
    <row r="34" spans="1:15" ht="27.6">
      <c r="A34" s="21" t="s">
        <v>323</v>
      </c>
      <c r="B34" s="22" t="s">
        <v>324</v>
      </c>
      <c r="C34" s="22" t="s">
        <v>325</v>
      </c>
      <c r="D34" s="22" t="s">
        <v>326</v>
      </c>
      <c r="E34" s="22" t="s">
        <v>14</v>
      </c>
      <c r="F34" s="22" t="s">
        <v>327</v>
      </c>
      <c r="G34" s="43">
        <v>46265</v>
      </c>
      <c r="H34" s="43">
        <v>46269</v>
      </c>
      <c r="I34" s="22" t="s">
        <v>328</v>
      </c>
      <c r="J34" s="22" t="s">
        <v>166</v>
      </c>
      <c r="K34" s="22" t="s">
        <v>136</v>
      </c>
      <c r="L34" s="22" t="s">
        <v>137</v>
      </c>
      <c r="M34" s="22" t="s">
        <v>329</v>
      </c>
      <c r="N34" s="22" t="s">
        <v>330</v>
      </c>
      <c r="O34" s="23" t="str">
        <f t="shared" ca="1" si="0"/>
        <v>On Track</v>
      </c>
    </row>
    <row r="35" spans="1:15" ht="27.6">
      <c r="A35" s="21" t="s">
        <v>331</v>
      </c>
      <c r="B35" s="22" t="s">
        <v>324</v>
      </c>
      <c r="C35" s="22" t="s">
        <v>325</v>
      </c>
      <c r="D35" s="22" t="s">
        <v>332</v>
      </c>
      <c r="E35" s="22" t="s">
        <v>47</v>
      </c>
      <c r="F35" s="22" t="s">
        <v>333</v>
      </c>
      <c r="G35" s="43">
        <v>46265</v>
      </c>
      <c r="H35" s="43">
        <v>46273</v>
      </c>
      <c r="I35" s="22" t="s">
        <v>334</v>
      </c>
      <c r="J35" s="22" t="s">
        <v>166</v>
      </c>
      <c r="K35" s="22" t="s">
        <v>136</v>
      </c>
      <c r="L35" s="22" t="s">
        <v>137</v>
      </c>
      <c r="M35" s="22" t="s">
        <v>335</v>
      </c>
      <c r="N35" s="22" t="s">
        <v>336</v>
      </c>
      <c r="O35" s="23" t="str">
        <f t="shared" ca="1" si="0"/>
        <v>On Track</v>
      </c>
    </row>
    <row r="36" spans="1:15" ht="27.6">
      <c r="A36" s="21" t="s">
        <v>337</v>
      </c>
      <c r="B36" s="22" t="s">
        <v>324</v>
      </c>
      <c r="C36" s="22" t="s">
        <v>296</v>
      </c>
      <c r="D36" s="22" t="s">
        <v>338</v>
      </c>
      <c r="E36" s="22" t="s">
        <v>29</v>
      </c>
      <c r="F36" s="22" t="s">
        <v>298</v>
      </c>
      <c r="G36" s="43">
        <v>46266</v>
      </c>
      <c r="H36" s="43">
        <v>46276</v>
      </c>
      <c r="I36" s="22" t="s">
        <v>339</v>
      </c>
      <c r="J36" s="22" t="s">
        <v>166</v>
      </c>
      <c r="K36" s="22" t="s">
        <v>136</v>
      </c>
      <c r="L36" s="22" t="s">
        <v>172</v>
      </c>
      <c r="M36" s="22" t="s">
        <v>340</v>
      </c>
      <c r="N36" s="22" t="s">
        <v>341</v>
      </c>
      <c r="O36" s="23" t="str">
        <f t="shared" ca="1" si="0"/>
        <v>On Track</v>
      </c>
    </row>
    <row r="37" spans="1:15" ht="27.6">
      <c r="A37" s="21" t="s">
        <v>342</v>
      </c>
      <c r="B37" s="22" t="s">
        <v>324</v>
      </c>
      <c r="C37" s="22" t="s">
        <v>325</v>
      </c>
      <c r="D37" s="22" t="s">
        <v>343</v>
      </c>
      <c r="E37" s="22" t="s">
        <v>14</v>
      </c>
      <c r="F37" s="22" t="s">
        <v>344</v>
      </c>
      <c r="G37" s="43">
        <v>46273</v>
      </c>
      <c r="H37" s="43">
        <v>46275</v>
      </c>
      <c r="I37" s="22" t="s">
        <v>345</v>
      </c>
      <c r="J37" s="22" t="s">
        <v>166</v>
      </c>
      <c r="K37" s="22" t="s">
        <v>136</v>
      </c>
      <c r="L37" s="22" t="s">
        <v>137</v>
      </c>
      <c r="M37" s="22" t="s">
        <v>346</v>
      </c>
      <c r="N37" s="22" t="s">
        <v>347</v>
      </c>
      <c r="O37" s="23" t="str">
        <f t="shared" ca="1" si="0"/>
        <v>On Track</v>
      </c>
    </row>
    <row r="38" spans="1:15" ht="27.6">
      <c r="A38" s="21" t="s">
        <v>348</v>
      </c>
      <c r="B38" s="22" t="s">
        <v>324</v>
      </c>
      <c r="C38" s="22" t="s">
        <v>325</v>
      </c>
      <c r="D38" s="22" t="s">
        <v>349</v>
      </c>
      <c r="E38" s="22" t="s">
        <v>14</v>
      </c>
      <c r="F38" s="22" t="s">
        <v>536</v>
      </c>
      <c r="G38" s="43">
        <v>46272</v>
      </c>
      <c r="H38" s="43">
        <v>46280</v>
      </c>
      <c r="I38" s="22" t="s">
        <v>350</v>
      </c>
      <c r="J38" s="22" t="s">
        <v>166</v>
      </c>
      <c r="K38" s="22" t="s">
        <v>136</v>
      </c>
      <c r="L38" s="22" t="s">
        <v>137</v>
      </c>
      <c r="M38" s="22" t="s">
        <v>351</v>
      </c>
      <c r="N38" s="22" t="s">
        <v>352</v>
      </c>
      <c r="O38" s="23" t="str">
        <f t="shared" ca="1" si="0"/>
        <v>On Track</v>
      </c>
    </row>
    <row r="39" spans="1:15" ht="27.6">
      <c r="A39" s="21" t="s">
        <v>353</v>
      </c>
      <c r="B39" s="22" t="s">
        <v>324</v>
      </c>
      <c r="C39" s="22" t="s">
        <v>325</v>
      </c>
      <c r="D39" s="22" t="s">
        <v>354</v>
      </c>
      <c r="E39" s="22" t="s">
        <v>47</v>
      </c>
      <c r="F39" s="22" t="s">
        <v>355</v>
      </c>
      <c r="G39" s="43">
        <v>46275</v>
      </c>
      <c r="H39" s="43">
        <v>46283</v>
      </c>
      <c r="I39" s="22" t="s">
        <v>356</v>
      </c>
      <c r="J39" s="22" t="s">
        <v>166</v>
      </c>
      <c r="K39" s="22" t="s">
        <v>136</v>
      </c>
      <c r="L39" s="22" t="s">
        <v>137</v>
      </c>
      <c r="M39" s="22" t="s">
        <v>357</v>
      </c>
      <c r="N39" s="22" t="s">
        <v>358</v>
      </c>
      <c r="O39" s="23" t="str">
        <f t="shared" ca="1" si="0"/>
        <v>On Track</v>
      </c>
    </row>
    <row r="40" spans="1:15" ht="27.6">
      <c r="A40" s="24" t="s">
        <v>359</v>
      </c>
      <c r="B40" s="25" t="s">
        <v>324</v>
      </c>
      <c r="C40" s="25" t="s">
        <v>325</v>
      </c>
      <c r="D40" s="25" t="s">
        <v>360</v>
      </c>
      <c r="E40" s="25" t="s">
        <v>9</v>
      </c>
      <c r="F40" s="25" t="s">
        <v>361</v>
      </c>
      <c r="G40" s="26">
        <v>46281</v>
      </c>
      <c r="H40" s="26">
        <v>46283</v>
      </c>
      <c r="I40" s="25" t="s">
        <v>362</v>
      </c>
      <c r="J40" s="25" t="s">
        <v>166</v>
      </c>
      <c r="K40" s="25" t="s">
        <v>136</v>
      </c>
      <c r="L40" s="25" t="s">
        <v>137</v>
      </c>
      <c r="M40" s="25" t="s">
        <v>363</v>
      </c>
      <c r="N40" s="25" t="s">
        <v>364</v>
      </c>
      <c r="O40" s="27" t="str">
        <f t="shared" ca="1" si="0"/>
        <v>On Track</v>
      </c>
    </row>
  </sheetData>
  <conditionalFormatting sqref="K2:K40">
    <cfRule type="expression" dxfId="5" priority="1">
      <formula>K2="Red"</formula>
    </cfRule>
    <cfRule type="expression" dxfId="4" priority="2">
      <formula>K2="Amber"</formula>
    </cfRule>
    <cfRule type="expression" dxfId="3" priority="3">
      <formula>K2="Green"</formula>
    </cfRule>
  </conditionalFormatting>
  <conditionalFormatting sqref="O2:O40">
    <cfRule type="expression" dxfId="2" priority="4">
      <formula>$O2="Overdue"</formula>
    </cfRule>
    <cfRule type="expression" dxfId="1" priority="5">
      <formula>$O2="Due &lt;=7d"</formula>
    </cfRule>
    <cfRule type="expression" dxfId="0" priority="6">
      <formula>$O2="On Track"</formula>
    </cfRule>
  </conditionalFormatting>
  <dataValidations count="3">
    <dataValidation type="list" sqref="J2:J40" xr:uid="{00000000-0002-0000-0300-000000000000}">
      <formula1>"Not Started,In Progress,Blocked,Done,Deferred"</formula1>
    </dataValidation>
    <dataValidation type="list" sqref="K2:K40" xr:uid="{00000000-0002-0000-0300-000001000000}">
      <formula1>"Green,Amber,Red"</formula1>
    </dataValidation>
    <dataValidation type="list" sqref="L2:L40" xr:uid="{00000000-0002-0000-0300-000002000000}">
      <formula1>"Must Have,Should Have,Good to Have"</formula1>
    </dataValidation>
  </dataValidations>
  <pageMargins left="0.7" right="0.7" top="0.75" bottom="0.75" header="0.3" footer="0.3"/>
  <headerFooter>
    <oddHeader>&amp;L&amp;"Aptos"&amp;10&amp;K008000 Classification: Internal&amp;1#_x000D_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"/>
  <sheetViews>
    <sheetView workbookViewId="0">
      <selection activeCell="A2" sqref="A2"/>
    </sheetView>
  </sheetViews>
  <sheetFormatPr defaultRowHeight="13.8"/>
  <cols>
    <col min="1" max="1" width="8.296875" customWidth="1"/>
    <col min="2" max="2" width="9.796875" customWidth="1"/>
    <col min="3" max="3" width="11.5" customWidth="1"/>
    <col min="4" max="4" width="23" customWidth="1"/>
    <col min="5" max="5" width="37.3984375" customWidth="1"/>
    <col min="6" max="6" width="20.796875" customWidth="1"/>
    <col min="7" max="7" width="12.09765625" customWidth="1"/>
  </cols>
  <sheetData>
    <row r="1" spans="1:7">
      <c r="A1" s="1" t="s">
        <v>123</v>
      </c>
      <c r="B1" s="1" t="s">
        <v>125</v>
      </c>
      <c r="C1" s="1" t="s">
        <v>124</v>
      </c>
      <c r="D1" s="1" t="s">
        <v>62</v>
      </c>
      <c r="E1" s="1" t="s">
        <v>61</v>
      </c>
      <c r="F1" s="1" t="s">
        <v>519</v>
      </c>
      <c r="G1" s="1" t="s">
        <v>516</v>
      </c>
    </row>
    <row r="2" spans="1:7" ht="26.4">
      <c r="A2" s="2" t="s">
        <v>166</v>
      </c>
      <c r="B2" s="2" t="s">
        <v>137</v>
      </c>
      <c r="C2" s="2" t="s">
        <v>136</v>
      </c>
      <c r="D2" s="2" t="s">
        <v>130</v>
      </c>
      <c r="E2" s="2" t="s">
        <v>131</v>
      </c>
      <c r="F2" s="2" t="s">
        <v>520</v>
      </c>
      <c r="G2" s="2" t="s">
        <v>521</v>
      </c>
    </row>
    <row r="3" spans="1:7" ht="26.4">
      <c r="A3" s="2" t="s">
        <v>135</v>
      </c>
      <c r="B3" s="2" t="s">
        <v>172</v>
      </c>
      <c r="C3" s="2" t="s">
        <v>155</v>
      </c>
      <c r="D3" s="2" t="s">
        <v>182</v>
      </c>
      <c r="E3" s="2" t="s">
        <v>183</v>
      </c>
      <c r="F3" s="2" t="s">
        <v>522</v>
      </c>
      <c r="G3" s="2" t="s">
        <v>517</v>
      </c>
    </row>
    <row r="4" spans="1:7" ht="26.4">
      <c r="A4" s="2" t="s">
        <v>523</v>
      </c>
      <c r="B4" s="2" t="s">
        <v>524</v>
      </c>
      <c r="C4" s="2" t="s">
        <v>525</v>
      </c>
      <c r="D4" s="2" t="s">
        <v>266</v>
      </c>
      <c r="E4" s="2" t="s">
        <v>201</v>
      </c>
      <c r="F4" s="2" t="s">
        <v>526</v>
      </c>
      <c r="G4" s="2" t="s">
        <v>518</v>
      </c>
    </row>
    <row r="5" spans="1:7" ht="26.4">
      <c r="A5" s="2" t="s">
        <v>365</v>
      </c>
      <c r="B5" s="2"/>
      <c r="C5" s="2"/>
      <c r="D5" s="2" t="s">
        <v>324</v>
      </c>
      <c r="E5" s="2" t="s">
        <v>267</v>
      </c>
      <c r="F5" s="2" t="s">
        <v>527</v>
      </c>
      <c r="G5" s="2" t="s">
        <v>528</v>
      </c>
    </row>
    <row r="6" spans="1:7" ht="26.4">
      <c r="A6" s="2" t="s">
        <v>529</v>
      </c>
      <c r="B6" s="2"/>
      <c r="C6" s="2"/>
      <c r="D6" s="2"/>
      <c r="E6" s="2" t="s">
        <v>235</v>
      </c>
      <c r="F6" s="2" t="s">
        <v>530</v>
      </c>
      <c r="G6" s="2" t="s">
        <v>531</v>
      </c>
    </row>
    <row r="7" spans="1:7" ht="26.4">
      <c r="A7" s="2"/>
      <c r="B7" s="2"/>
      <c r="C7" s="2"/>
      <c r="D7" s="2"/>
      <c r="E7" s="2" t="s">
        <v>242</v>
      </c>
      <c r="F7" s="2" t="s">
        <v>532</v>
      </c>
      <c r="G7" s="2" t="s">
        <v>533</v>
      </c>
    </row>
    <row r="8" spans="1:7" ht="26.4">
      <c r="A8" s="2"/>
      <c r="B8" s="2"/>
      <c r="C8" s="2"/>
      <c r="D8" s="2"/>
      <c r="E8" s="2" t="s">
        <v>325</v>
      </c>
      <c r="F8" s="2" t="s">
        <v>534</v>
      </c>
      <c r="G8" s="2"/>
    </row>
    <row r="9" spans="1:7">
      <c r="A9" s="2"/>
      <c r="B9" s="2"/>
      <c r="C9" s="2"/>
      <c r="D9" s="2"/>
      <c r="E9" s="2" t="s">
        <v>296</v>
      </c>
      <c r="F9" s="2" t="s">
        <v>535</v>
      </c>
      <c r="G9" s="2"/>
    </row>
  </sheetData>
  <pageMargins left="0.7" right="0.7" top="0.75" bottom="0.75" header="0.3" footer="0.3"/>
  <headerFooter>
    <oddHeader>&amp;L&amp;"Aptos"&amp;10&amp;K008000 Classification: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81C5F62C4B5A4CB7444FB33AD1D1FE" ma:contentTypeVersion="3" ma:contentTypeDescription="Create a new document." ma:contentTypeScope="" ma:versionID="6d4dd119e202e01b28fe9e56f7a55439">
  <xsd:schema xmlns:xsd="http://www.w3.org/2001/XMLSchema" xmlns:xs="http://www.w3.org/2001/XMLSchema" xmlns:p="http://schemas.microsoft.com/office/2006/metadata/properties" xmlns:ns2="936b0a21-3754-46bd-ad12-cf9d8277a26f" targetNamespace="http://schemas.microsoft.com/office/2006/metadata/properties" ma:root="true" ma:fieldsID="ac4160e04c183f40edaf337bade30ad1" ns2:_="">
    <xsd:import namespace="936b0a21-3754-46bd-ad12-cf9d8277a2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b0a21-3754-46bd-ad12-cf9d8277a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51BC0C-BFCC-44E8-AF02-AF50E40F3BAC}">
  <ds:schemaRefs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936b0a21-3754-46bd-ad12-cf9d8277a26f"/>
  </ds:schemaRefs>
</ds:datastoreItem>
</file>

<file path=customXml/itemProps2.xml><?xml version="1.0" encoding="utf-8"?>
<ds:datastoreItem xmlns:ds="http://schemas.openxmlformats.org/officeDocument/2006/customXml" ds:itemID="{94B182C7-6231-43FA-9587-4C0A65B1BD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6b0a21-3754-46bd-ad12-cf9d8277a2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441684-71FD-4BEA-8050-9D1965956E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Team Role Matrix</vt:lpstr>
      <vt:lpstr>Workstream Ownership</vt:lpstr>
      <vt:lpstr>Deliverable Control</vt:lpstr>
      <vt:lpstr>Detailed Task Tracker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Murthy R B</dc:creator>
  <cp:keywords>HCLClassification=Internal</cp:keywords>
  <cp:lastModifiedBy>Giridhar Krishnagiri</cp:lastModifiedBy>
  <dcterms:created xsi:type="dcterms:W3CDTF">2026-06-04T10:36:52Z</dcterms:created>
  <dcterms:modified xsi:type="dcterms:W3CDTF">2026-06-08T16:53:34Z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61427cb2-b84c-4e51-b129-215b11d0fa35</vt:lpwstr>
  </property>
  <property fmtid="{D5CDD505-2E9C-101B-9397-08002B2CF9AE}" pid="3" name="HCLClassD6">
    <vt:lpwstr>False</vt:lpwstr>
  </property>
  <property fmtid="{D5CDD505-2E9C-101B-9397-08002B2CF9AE}" pid="4" name="MSIP_Label_556dfe78-8a37-4fb5-b4aa-b92b97e18d15_Enabled">
    <vt:lpwstr>true</vt:lpwstr>
  </property>
  <property fmtid="{D5CDD505-2E9C-101B-9397-08002B2CF9AE}" pid="5" name="MSIP_Label_556dfe78-8a37-4fb5-b4aa-b92b97e18d15_SetDate">
    <vt:lpwstr>2026-06-03T17:28:10Z</vt:lpwstr>
  </property>
  <property fmtid="{D5CDD505-2E9C-101B-9397-08002B2CF9AE}" pid="6" name="MSIP_Label_556dfe78-8a37-4fb5-b4aa-b92b97e18d15_Method">
    <vt:lpwstr>Standard</vt:lpwstr>
  </property>
  <property fmtid="{D5CDD505-2E9C-101B-9397-08002B2CF9AE}" pid="7" name="MSIP_Label_556dfe78-8a37-4fb5-b4aa-b92b97e18d15_Name">
    <vt:lpwstr>Internal</vt:lpwstr>
  </property>
  <property fmtid="{D5CDD505-2E9C-101B-9397-08002B2CF9AE}" pid="8" name="MSIP_Label_556dfe78-8a37-4fb5-b4aa-b92b97e18d15_SiteId">
    <vt:lpwstr>189de737-c93a-4f5a-8b68-6f4ca9941912</vt:lpwstr>
  </property>
  <property fmtid="{D5CDD505-2E9C-101B-9397-08002B2CF9AE}" pid="9" name="MSIP_Label_556dfe78-8a37-4fb5-b4aa-b92b97e18d15_ActionId">
    <vt:lpwstr>722b39e8-1063-4cfb-b618-9202aa7832b2</vt:lpwstr>
  </property>
  <property fmtid="{D5CDD505-2E9C-101B-9397-08002B2CF9AE}" pid="10" name="MSIP_Label_556dfe78-8a37-4fb5-b4aa-b92b97e18d15_ContentBits">
    <vt:lpwstr>1</vt:lpwstr>
  </property>
  <property fmtid="{D5CDD505-2E9C-101B-9397-08002B2CF9AE}" pid="11" name="MSIP_Label_556dfe78-8a37-4fb5-b4aa-b92b97e18d15_Tag">
    <vt:lpwstr>10, 3, 0, 1</vt:lpwstr>
  </property>
  <property fmtid="{D5CDD505-2E9C-101B-9397-08002B2CF9AE}" pid="12" name="ContentTypeId">
    <vt:lpwstr>0x0101005181C5F62C4B5A4CB7444FB33AD1D1FE</vt:lpwstr>
  </property>
  <property fmtid="{D5CDD505-2E9C-101B-9397-08002B2CF9AE}" pid="13" name="HCLClassification">
    <vt:lpwstr>HCL_Cla5s_1nt3rnal</vt:lpwstr>
  </property>
</Properties>
</file>